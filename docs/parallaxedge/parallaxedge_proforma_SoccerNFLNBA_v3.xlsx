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" sheetId="2" state="visible" r:id="rId4"/>
    <sheet name="Subscriber Build" sheetId="3" state="visible" r:id="rId5"/>
    <sheet name="Sensitivity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<sst xmlns="http://schemas.openxmlformats.org/spreadsheetml/2006/main" count="259" uniqueCount="219">
  <si>
    <t xml:space="preserve">ParallaxEdge — Pro Forma Assumptions</t>
  </si>
  <si>
    <t xml:space="preserve">Assumption</t>
  </si>
  <si>
    <t xml:space="preserve">Value</t>
  </si>
  <si>
    <t xml:space="preserve">Notes</t>
  </si>
  <si>
    <t xml:space="preserve">LAUNCH &amp; TIMING</t>
  </si>
  <si>
    <t xml:space="preserve">Soft launch month</t>
  </si>
  <si>
    <t xml:space="preserve">Jun-26</t>
  </si>
  <si>
    <t xml:space="preserve">Soccer / World Cup 2026</t>
  </si>
  <si>
    <t xml:space="preserve">NFL launch month</t>
  </si>
  <si>
    <t xml:space="preserve">Sep-26</t>
  </si>
  <si>
    <t xml:space="preserve">Regular season open</t>
  </si>
  <si>
    <t xml:space="preserve">NBA launch month</t>
  </si>
  <si>
    <t xml:space="preserve">Oct-26</t>
  </si>
  <si>
    <t xml:space="preserve">2026-27 season tip-off</t>
  </si>
  <si>
    <t xml:space="preserve">SUBSCRIPTION PRICING</t>
  </si>
  <si>
    <t xml:space="preserve">Sharp tier — monthly price</t>
  </si>
  <si>
    <t xml:space="preserve">USD; billed monthly</t>
  </si>
  <si>
    <t xml:space="preserve">Stripe processing fee</t>
  </si>
  <si>
    <t xml:space="preserve">2.9% + $0.30 per transaction</t>
  </si>
  <si>
    <t xml:space="preserve">Stripe per-transaction fee</t>
  </si>
  <si>
    <t xml:space="preserve">USD flat fee</t>
  </si>
  <si>
    <t xml:space="preserve">PROMOTIONAL — WORLD CUP GROUP STAGE</t>
  </si>
  <si>
    <t xml:space="preserve">Promo user cap</t>
  </si>
  <si>
    <t xml:space="preserve">First 1,000 sign-ups get Sharp free</t>
  </si>
  <si>
    <t xml:space="preserve">Group stage duration (months)</t>
  </si>
  <si>
    <t xml:space="preserve">Jun 12 – Jul 2 ≈ 1 billing cycle</t>
  </si>
  <si>
    <t xml:space="preserve">Promo-to-paid conversion rate</t>
  </si>
  <si>
    <t xml:space="preserve">35% keep Sharp after group stage ends</t>
  </si>
  <si>
    <t xml:space="preserve">SUBSCRIBER GROWTH — SOCCER (Jun–Aug)</t>
  </si>
  <si>
    <t xml:space="preserve">Jun: new free registrations</t>
  </si>
  <si>
    <t xml:space="preserve">Soft launch; promo drives sign-ups</t>
  </si>
  <si>
    <t xml:space="preserve">Jun: organic paid Sharp (non-promo)</t>
  </si>
  <si>
    <t xml:space="preserve">Early adopters paying immediately</t>
  </si>
  <si>
    <t xml:space="preserve">Jul: new free registrations</t>
  </si>
  <si>
    <t xml:space="preserve">WC knockout stage / word of mouth</t>
  </si>
  <si>
    <t xml:space="preserve">Jul: new paid Sharp (organic)</t>
  </si>
  <si>
    <t xml:space="preserve">Post-group-stage promo conversions + organic</t>
  </si>
  <si>
    <t xml:space="preserve">Aug: new free registrations</t>
  </si>
  <si>
    <t xml:space="preserve">Post-WC taper; NFL anticipation</t>
  </si>
  <si>
    <t xml:space="preserve">Aug: new paid Sharp (organic)</t>
  </si>
  <si>
    <t xml:space="preserve">SUBSCRIBER GROWTH — NFL LIFT (Sep–Nov)</t>
  </si>
  <si>
    <t xml:space="preserve">Sep: new free registrations</t>
  </si>
  <si>
    <t xml:space="preserve">NFL launch; largest single month</t>
  </si>
  <si>
    <t xml:space="preserve">Sep: new paid Sharp</t>
  </si>
  <si>
    <t xml:space="preserve">High intent bettor cohort</t>
  </si>
  <si>
    <t xml:space="preserve">Oct: new free registrations</t>
  </si>
  <si>
    <t xml:space="preserve">Oct: new paid Sharp</t>
  </si>
  <si>
    <t xml:space="preserve">NBA tip-off adds second sport</t>
  </si>
  <si>
    <t xml:space="preserve">Nov: new free registrations</t>
  </si>
  <si>
    <t xml:space="preserve">Nov: new paid Sharp</t>
  </si>
  <si>
    <t xml:space="preserve">SUBSCRIBER GROWTH — STEADY STATE (Dec–May)</t>
  </si>
  <si>
    <t xml:space="preserve">Monthly new free registrations</t>
  </si>
  <si>
    <t xml:space="preserve">Dec–May average</t>
  </si>
  <si>
    <t xml:space="preserve">Monthly new paid Sharp</t>
  </si>
  <si>
    <t xml:space="preserve">CHURN</t>
  </si>
  <si>
    <t xml:space="preserve">Monthly paid churn rate</t>
  </si>
  <si>
    <t xml:space="preserve">4.5% — within PRD &lt;5% target</t>
  </si>
  <si>
    <t xml:space="preserve">Free-to-paid conversion (organic)</t>
  </si>
  <si>
    <t xml:space="preserve">4% of free base each month</t>
  </si>
  <si>
    <t xml:space="preserve">AFFILIATE REVENUE</t>
  </si>
  <si>
    <t xml:space="preserve">Affiliate ramp start month</t>
  </si>
  <si>
    <t xml:space="preserve">NFL launch triggers affiliate push</t>
  </si>
  <si>
    <t xml:space="preserve">Sep affiliate revenue</t>
  </si>
  <si>
    <t xml:space="preserve">USD; 3 sportsbook partners minimum</t>
  </si>
  <si>
    <t xml:space="preserve">Monthly affiliate growth rate</t>
  </si>
  <si>
    <t xml:space="preserve">25% MoM through Dec, then normalises</t>
  </si>
  <si>
    <t xml:space="preserve">Jan–May monthly affiliate revenue</t>
  </si>
  <si>
    <t xml:space="preserve">Conservative steady state; anchored to proforma IS (Marketing Plan updated)</t>
  </si>
  <si>
    <t xml:space="preserve">OPERATING COSTS — DATA &amp; APIs</t>
  </si>
  <si>
    <t xml:space="preserve">The Odds API (production)</t>
  </si>
  <si>
    <t xml:space="preserve">USD/month — historical + live plan</t>
  </si>
  <si>
    <t xml:space="preserve">Stats vendor (SportsDataIO/Sportradar)</t>
  </si>
  <si>
    <t xml:space="preserve">USD/month est. — NFL+NBA real-time</t>
  </si>
  <si>
    <t xml:space="preserve">API-Football (soccer production)</t>
  </si>
  <si>
    <t xml:space="preserve">USD/month — Mega tier (150K req/day); all competitions incl. EPL, WC2026, UCL</t>
  </si>
  <si>
    <t xml:space="preserve">Weather vendor (Tomorrow.io fallback)</t>
  </si>
  <si>
    <t xml:space="preserve">USD/month development; scales at prod</t>
  </si>
  <si>
    <t xml:space="preserve">OPERATING COSTS — INFRASTRUCTURE</t>
  </si>
  <si>
    <t xml:space="preserve">Cloud hosting (AWS/GCP)</t>
  </si>
  <si>
    <t xml:space="preserve">USD/month; scales with users</t>
  </si>
  <si>
    <t xml:space="preserve">Supabase (auth + DB)</t>
  </si>
  <si>
    <t xml:space="preserve">USD/month Pro plan</t>
  </si>
  <si>
    <t xml:space="preserve">Firebase FCM</t>
  </si>
  <si>
    <t xml:space="preserve">Free tier sufficient at launch</t>
  </si>
  <si>
    <t xml:space="preserve">Cloudflare (CDN + DDoS)</t>
  </si>
  <si>
    <t xml:space="preserve">MLflow / model infra</t>
  </si>
  <si>
    <t xml:space="preserve">USD/month est.</t>
  </si>
  <si>
    <t xml:space="preserve">OPERATING COSTS — TOOLS &amp; COMPLIANCE</t>
  </si>
  <si>
    <t xml:space="preserve">Cookiebot</t>
  </si>
  <si>
    <t xml:space="preserve">USD/month — consent management</t>
  </si>
  <si>
    <t xml:space="preserve">Statuspage.io</t>
  </si>
  <si>
    <t xml:space="preserve">USD/month</t>
  </si>
  <si>
    <t xml:space="preserve">Grafana Cloud</t>
  </si>
  <si>
    <t xml:space="preserve">Free tier at launch</t>
  </si>
  <si>
    <t xml:space="preserve">Intercom (customer support)</t>
  </si>
  <si>
    <t xml:space="preserve">USD/month Starter</t>
  </si>
  <si>
    <t xml:space="preserve">Domain + misc SaaS</t>
  </si>
  <si>
    <t xml:space="preserve">USD/month estimate</t>
  </si>
  <si>
    <t xml:space="preserve">OPERATING COSTS — MARKETING PLATFORMS</t>
  </si>
  <si>
    <t xml:space="preserve">Email marketing platform (Mailchimp)</t>
  </si>
  <si>
    <t xml:space="preserve">USD/month — Mailchimp or equivalent</t>
  </si>
  <si>
    <t xml:space="preserve">Social scheduling &amp; analytics (Buffer)</t>
  </si>
  <si>
    <t xml:space="preserve">USD/month — Buffer or Later equivalent</t>
  </si>
  <si>
    <t xml:space="preserve">Penetration test (pre-launch)</t>
  </si>
  <si>
    <t xml:space="preserve">USD one-time</t>
  </si>
  <si>
    <t xml:space="preserve">ParallaxEdge — Pro Forma Income Statement (Jun 2026 – May 2027)</t>
  </si>
  <si>
    <t xml:space="preserve">Blue = hardcoded input  |  Black = formula  |  All figures in USD  |  No salary draws assumed</t>
  </si>
  <si>
    <t xml:space="preserve">Line Item</t>
  </si>
  <si>
    <t xml:space="preserve">Jul-26</t>
  </si>
  <si>
    <t xml:space="preserve">Aug-26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</si>
  <si>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</si>
  <si>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</si>
  <si>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</si>
  <si>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</si>
  <si>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</si>
  <si>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</si>
  <si>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</si>
  <si>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FY Total</t>
  </si>
  <si>
    <t xml:space="preserve">REVENUE</t>
  </si>
  <si>
    <t xml:space="preserve">Gross subscription revenue (Sharp tier)</t>
  </si>
  <si>
    <t xml:space="preserve">  Less: Stripe payment processing fees</t>
  </si>
  <si>
    <t xml:space="preserve">Net subscription revenue</t>
  </si>
  <si>
    <t xml:space="preserve">Affiliate revenue</t>
  </si>
  <si>
    <t xml:space="preserve">TOTAL NET REVENUE</t>
  </si>
  <si>
    <t xml:space="preserve">COST OF REVENUE — DATA &amp; API FEEDS</t>
  </si>
  <si>
    <t xml:space="preserve">The Odds API (live odds feed)</t>
  </si>
  <si>
    <t xml:space="preserve">Stats vendor — NFL/NBA real-time (SportsDataIO est.)</t>
  </si>
  <si>
    <t xml:space="preserve">API-Football (soccer: EPL + WC2026 + UCL — Mega tier)</t>
  </si>
  <si>
    <t xml:space="preserve">Weather vendor (Tomorrow.io)</t>
  </si>
  <si>
    <t xml:space="preserve">Total data &amp; API costs</t>
  </si>
  <si>
    <t xml:space="preserve">COST OF REVENUE — INFRASTRUCTURE</t>
  </si>
  <si>
    <t xml:space="preserve">Supabase (auth + database)</t>
  </si>
  <si>
    <t xml:space="preserve">Cloudflare CDN + DDoS protection</t>
  </si>
  <si>
    <t xml:space="preserve">MLflow / model infrastructure</t>
  </si>
  <si>
    <t xml:space="preserve">Total infrastructure costs</t>
  </si>
  <si>
    <t xml:space="preserve">TOTAL COST OF REVENUE</t>
  </si>
  <si>
    <t xml:space="preserve">GROSS PROFIT</t>
  </si>
  <si>
    <t xml:space="preserve">  Gross margin %</t>
  </si>
  <si>
    <t xml:space="preserve">OPERATING EXPENSES — TOOLS &amp; COMPLIANCE</t>
  </si>
  <si>
    <t xml:space="preserve">Cookiebot (consent management)</t>
  </si>
  <si>
    <t xml:space="preserve">Domain + miscellaneous SaaS</t>
  </si>
  <si>
    <t xml:space="preserve">Total tools &amp; compliance</t>
  </si>
  <si>
    <t xml:space="preserve">OPERATING EXPENSES — ONE-TIME PRE-LAUNCH (Month 1)</t>
  </si>
  <si>
    <t xml:space="preserve">Legal review (ToS + Privacy Policy)</t>
  </si>
  <si>
    <t xml:space="preserve">Trademark application (USPTO)</t>
  </si>
  <si>
    <t xml:space="preserve">Pre-launch penetration test</t>
  </si>
  <si>
    <t xml:space="preserve">Total one-time costs</t>
  </si>
  <si>
    <t xml:space="preserve">TOTAL OPERATING EXPENSES</t>
  </si>
  <si>
    <t xml:space="preserve">EBITDA</t>
  </si>
  <si>
    <t xml:space="preserve">  EBITDA margin %</t>
  </si>
  <si>
    <t xml:space="preserve">KEY METRICS (REFERENCE)</t>
  </si>
  <si>
    <t xml:space="preserve">Paid Sharp subscribers (EOP)</t>
  </si>
  <si>
    <t xml:space="preserve">Monthly Recurring Revenue — MRR ($)</t>
  </si>
  <si>
    <t xml:space="preserve">Total registered users (EOP)</t>
  </si>
  <si>
    <t xml:space="preserve">Free-to-paid conversion rate</t>
  </si>
  <si>
    <t xml:space="preserve">-</t>
  </si>
  <si>
    <t xml:space="preserve">ParallaxEdge — Subscriber Build (12 Months)</t>
  </si>
  <si>
    <t xml:space="preserve">Metric</t>
  </si>
  <si>
    <t xml:space="preserve">FREE TIER</t>
  </si>
  <si>
    <t xml:space="preserve">New free registrations</t>
  </si>
  <si>
    <t xml:space="preserve">Free-to-paid conversions (out)</t>
  </si>
  <si>
    <t xml:space="preserve">Free users (EOP)</t>
  </si>
  <si>
    <t xml:space="preserve">PROMO (Sharp Free — Group Stage)</t>
  </si>
  <si>
    <t xml:space="preserve">Active promo Sharp users</t>
  </si>
  <si>
    <t xml:space="preserve">Promo-to-paid conversions (Jul)</t>
  </si>
  <si>
    <t xml:space="preserve">PAID SHARP TIER</t>
  </si>
  <si>
    <t xml:space="preserve">New paid Sharp (organic + promo converts)</t>
  </si>
  <si>
    <t xml:space="preserve">Monthly churn (out)</t>
  </si>
  <si>
    <t xml:space="preserve">TOTAL PLATFORM</t>
  </si>
  <si>
    <t xml:space="preserve">  of which: paid Sharp</t>
  </si>
  <si>
    <t xml:space="preserve">  of which: promo Sharp (non-paying)</t>
  </si>
  <si>
    <t xml:space="preserve">  of which: free tier</t>
  </si>
  <si>
    <t xml:space="preserve">ParallaxEdge — Sensitivity Analysis (FY Jun 2026 – May 2027)</t>
  </si>
  <si>
    <t xml:space="preserve">Base case = proforma v3 assumptions. Each variable stressed independently; all others held at base.</t>
  </si>
  <si>
    <t xml:space="preserve">Green = formula link to IS/Sub Build  |  Blue = hardcoded input  |  Yellow = base case</t>
  </si>
  <si>
    <t xml:space="preserve">BASE CASE REFERENCE</t>
  </si>
  <si>
    <t xml:space="preserve">Base Value</t>
  </si>
  <si>
    <t xml:space="preserve">FY Net Revenue</t>
  </si>
  <si>
    <t xml:space="preserve">FY EBITDA</t>
  </si>
  <si>
    <t xml:space="preserve">Paid Subs (May-27)</t>
  </si>
  <si>
    <t xml:space="preserve">May-27 MRR</t>
  </si>
  <si>
    <t xml:space="preserve">Base case (proforma v3)</t>
  </si>
  <si>
    <t xml:space="preserve">—</t>
  </si>
  <si>
    <t xml:space="preserve">SENSITIVITY TABLE — SINGLE-VARIABLE STRESS</t>
  </si>
  <si>
    <t xml:space="preserve">Variable / Scenario</t>
  </si>
  <si>
    <t xml:space="preserve">Assumption Value</t>
  </si>
  <si>
    <t xml:space="preserve">FY Net Revenue ($)</t>
  </si>
  <si>
    <t xml:space="preserve">FY EBITDA ($)</t>
  </si>
  <si>
    <t xml:space="preserve">Paid Subs May-27</t>
  </si>
  <si>
    <t xml:space="preserve">May-27 MRR ($)</t>
  </si>
  <si>
    <t xml:space="preserve">MONTHLY CHURN RATE</t>
  </si>
  <si>
    <t xml:space="preserve">Bear (-2)</t>
  </si>
  <si>
    <t xml:space="preserve">Churn = 7.5%</t>
  </si>
  <si>
    <t xml:space="preserve">Bear (-1)</t>
  </si>
  <si>
    <t xml:space="preserve">Churn = 6.0%</t>
  </si>
  <si>
    <t xml:space="preserve">Base</t>
  </si>
  <si>
    <t xml:space="preserve">Churn = 4.5%</t>
  </si>
  <si>
    <t xml:space="preserve">Bull (+1)</t>
  </si>
  <si>
    <t xml:space="preserve">Churn = 3.0%</t>
  </si>
  <si>
    <t xml:space="preserve">Bull (+2)</t>
  </si>
  <si>
    <t xml:space="preserve">Churn = 1.5%</t>
  </si>
  <si>
    <t xml:space="preserve">FREE-TO-PAID CONVERSION RATE</t>
  </si>
  <si>
    <t xml:space="preserve">F2P = 2.0%</t>
  </si>
  <si>
    <t xml:space="preserve">F2P = 3.0%</t>
  </si>
  <si>
    <t xml:space="preserve">F2P = 4.0%</t>
  </si>
  <si>
    <t xml:space="preserve">F2P = 5.0%</t>
  </si>
  <si>
    <t xml:space="preserve">F2P = 6.0%</t>
  </si>
  <si>
    <t xml:space="preserve">PROMO CONVERSION RATE (World Cup)</t>
  </si>
  <si>
    <t xml:space="preserve">Promo conv = 20%</t>
  </si>
  <si>
    <t xml:space="preserve">Promo conv = 27.5%</t>
  </si>
  <si>
    <t xml:space="preserve">Promo conv = 35%</t>
  </si>
  <si>
    <t xml:space="preserve">Promo conv = 42.5%</t>
  </si>
  <si>
    <t xml:space="preserve">Promo conv = 50%</t>
  </si>
  <si>
    <t xml:space="preserve">AFFILIATE REVENUE — STEADY STATE (Jan–May/mo)</t>
  </si>
  <si>
    <t xml:space="preserve">Affiliate = $500/mo</t>
  </si>
  <si>
    <t xml:space="preserve">Affiliate = $1,000/mo</t>
  </si>
  <si>
    <t xml:space="preserve">Affiliate = $1,500/mo</t>
  </si>
  <si>
    <t xml:space="preserve">Affiliate = $2,500/mo</t>
  </si>
  <si>
    <t xml:space="preserve">Affiliate = $4,000/mo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</si>
</sst>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\$#,##0;&quot;($&quot;#,##0\);\-"/>
    <numFmt numFmtId="168" formatCode="0.0%;\(0.0%\);\-"/>
    <numFmt numFmtId="169" formatCode="#,##0;\(#,##0\);\-"/>
    <numFmt numFmtId="170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B2E45"/>
      </patternFill>
    </fill>
    <fill>
      <patternFill patternType="solid">
        <fgColor rgb="FF1B2E45"/>
        <bgColor rgb="FF1F3864"/>
      </patternFill>
    </fill>
    <fill>
      <patternFill patternType="solid">
        <fgColor rgb="FFEAF0F7"/>
        <bgColor rgb="FFFFFFFF"/>
      </patternFill>
    </fill>
    <fill>
      <patternFill patternType="solid">
        <fgColor rgb="FFFFFFFF"/>
        <bgColor rgb="FFEAF0F7"/>
      </patternFill>
    </fill>
    <fill>
      <patternFill patternType="solid">
        <fgColor rgb="FF1F3864"/>
        <bgColor rgb="FF2E4057"/>
      </patternFill>
    </fill>
    <fill>
      <patternFill patternType="solid">
        <fgColor rgb="FFFFF9C4"/>
        <bgColor rgb="FFFFFF99"/>
      </patternFill>
    </fill>
    <fill>
      <patternFill patternType="solid">
        <fgColor rgb="FF2E4057"/>
        <bgColor rgb="FF1F3864"/>
      </patternFill>
    </fill>
    <fill>
      <patternFill patternType="solid">
        <fgColor rgb="FFC8D8E8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4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9C4"/>
      <rgbColor rgb="FFEAF0F7"/>
      <rgbColor rgb="FF660066"/>
      <rgbColor rgb="FFFF8080"/>
      <rgbColor rgb="FF0066CC"/>
      <rgbColor rgb="FFC8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CCCCCC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66"/>
      <rgbColor rgb="FFAAAAAA"/>
      <rgbColor rgb="FF1F3864"/>
      <rgbColor rgb="FF339966"/>
      <rgbColor rgb="FF0D1B2A"/>
      <rgbColor rgb="FF555555"/>
      <rgbColor rgb="FF993300"/>
      <rgbColor rgb="FF993366"/>
      <rgbColor rgb="FF2E4057"/>
      <rgbColor rgb="FF1B2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C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4" t="s">
        <v>2</v>
      </c>
      <c r="C2" s="5" t="s">
        <v>3</v>
      </c>
    </row>
    <row r="3" customFormat="false" ht="19.5" hidden="false" customHeight="true" outlineLevel="0" collapsed="false">
      <c r="A3" s="6" t="s">
        <v>4</v>
      </c>
      <c r="B3" s="7"/>
      <c r="C3" s="7"/>
    </row>
    <row r="4" customFormat="false" ht="18" hidden="false" customHeight="true" outlineLevel="0" collapsed="false">
      <c r="A4" s="8" t="s">
        <v>5</v>
      </c>
      <c r="B4" s="9" t="s">
        <v>6</v>
      </c>
      <c r="C4" s="10" t="s">
        <v>7</v>
      </c>
    </row>
    <row r="5" customFormat="false" ht="18" hidden="false" customHeight="true" outlineLevel="0" collapsed="false">
      <c r="A5" s="11" t="s">
        <v>8</v>
      </c>
      <c r="B5" s="12" t="s">
        <v>9</v>
      </c>
      <c r="C5" s="13" t="s">
        <v>10</v>
      </c>
    </row>
    <row r="6" customFormat="false" ht="18" hidden="false" customHeight="true" outlineLevel="0" collapsed="false">
      <c r="A6" s="8" t="s">
        <v>11</v>
      </c>
      <c r="B6" s="9" t="s">
        <v>12</v>
      </c>
      <c r="C6" s="10" t="s">
        <v>13</v>
      </c>
    </row>
    <row r="7" customFormat="false" ht="19.5" hidden="false" customHeight="true" outlineLevel="0" collapsed="false">
      <c r="A7" s="6" t="s">
        <v>14</v>
      </c>
      <c r="B7" s="7"/>
      <c r="C7" s="7"/>
    </row>
    <row r="8" customFormat="false" ht="18" hidden="false" customHeight="true" outlineLevel="0" collapsed="false">
      <c r="A8" s="8" t="s">
        <v>15</v>
      </c>
      <c r="B8" s="14" t="n">
        <v>19</v>
      </c>
      <c r="C8" s="10" t="s">
        <v>16</v>
      </c>
    </row>
    <row r="9" customFormat="false" ht="18" hidden="false" customHeight="true" outlineLevel="0" collapsed="false">
      <c r="A9" s="11" t="s">
        <v>17</v>
      </c>
      <c r="B9" s="15" t="n">
        <v>0.029</v>
      </c>
      <c r="C9" s="13" t="s">
        <v>18</v>
      </c>
    </row>
    <row r="10" customFormat="false" ht="18" hidden="false" customHeight="true" outlineLevel="0" collapsed="false">
      <c r="A10" s="8" t="s">
        <v>19</v>
      </c>
      <c r="B10" s="14" t="n">
        <v>0.3</v>
      </c>
      <c r="C10" s="10" t="s">
        <v>20</v>
      </c>
    </row>
    <row r="11" customFormat="false" ht="19.5" hidden="false" customHeight="true" outlineLevel="0" collapsed="false">
      <c r="A11" s="6" t="s">
        <v>21</v>
      </c>
      <c r="B11" s="7"/>
      <c r="C11" s="7"/>
    </row>
    <row r="12" customFormat="false" ht="18" hidden="false" customHeight="true" outlineLevel="0" collapsed="false">
      <c r="A12" s="8" t="s">
        <v>22</v>
      </c>
      <c r="B12" s="9" t="n">
        <v>1000</v>
      </c>
      <c r="C12" s="10" t="s">
        <v>23</v>
      </c>
    </row>
    <row r="13" customFormat="false" ht="18" hidden="false" customHeight="true" outlineLevel="0" collapsed="false">
      <c r="A13" s="11" t="s">
        <v>24</v>
      </c>
      <c r="B13" s="12" t="n">
        <v>1</v>
      </c>
      <c r="C13" s="13" t="s">
        <v>25</v>
      </c>
    </row>
    <row r="14" customFormat="false" ht="18" hidden="false" customHeight="true" outlineLevel="0" collapsed="false">
      <c r="A14" s="8" t="s">
        <v>26</v>
      </c>
      <c r="B14" s="16" t="n">
        <v>0.35</v>
      </c>
      <c r="C14" s="10" t="s">
        <v>27</v>
      </c>
    </row>
    <row r="15" customFormat="false" ht="19.5" hidden="false" customHeight="true" outlineLevel="0" collapsed="false">
      <c r="A15" s="6" t="s">
        <v>28</v>
      </c>
      <c r="B15" s="7"/>
      <c r="C15" s="7"/>
    </row>
    <row r="16" customFormat="false" ht="18" hidden="false" customHeight="true" outlineLevel="0" collapsed="false">
      <c r="A16" s="8" t="s">
        <v>29</v>
      </c>
      <c r="B16" s="9" t="n">
        <v>800</v>
      </c>
      <c r="C16" s="10" t="s">
        <v>30</v>
      </c>
    </row>
    <row r="17" customFormat="false" ht="18" hidden="false" customHeight="true" outlineLevel="0" collapsed="false">
      <c r="A17" s="11" t="s">
        <v>31</v>
      </c>
      <c r="B17" s="12" t="n">
        <v>50</v>
      </c>
      <c r="C17" s="13" t="s">
        <v>32</v>
      </c>
    </row>
    <row r="18" customFormat="false" ht="18" hidden="false" customHeight="true" outlineLevel="0" collapsed="false">
      <c r="A18" s="8" t="s">
        <v>33</v>
      </c>
      <c r="B18" s="9" t="n">
        <v>600</v>
      </c>
      <c r="C18" s="10" t="s">
        <v>34</v>
      </c>
    </row>
    <row r="19" customFormat="false" ht="18" hidden="false" customHeight="true" outlineLevel="0" collapsed="false">
      <c r="A19" s="11" t="s">
        <v>35</v>
      </c>
      <c r="B19" s="12" t="n">
        <v>80</v>
      </c>
      <c r="C19" s="13" t="s">
        <v>36</v>
      </c>
    </row>
    <row r="20" customFormat="false" ht="18" hidden="false" customHeight="true" outlineLevel="0" collapsed="false">
      <c r="A20" s="8" t="s">
        <v>37</v>
      </c>
      <c r="B20" s="9" t="n">
        <v>400</v>
      </c>
      <c r="C20" s="10" t="s">
        <v>38</v>
      </c>
    </row>
    <row r="21" customFormat="false" ht="18" hidden="false" customHeight="true" outlineLevel="0" collapsed="false">
      <c r="A21" s="11" t="s">
        <v>39</v>
      </c>
      <c r="B21" s="12" t="n">
        <v>60</v>
      </c>
      <c r="C21" s="13"/>
    </row>
    <row r="22" customFormat="false" ht="19.5" hidden="false" customHeight="true" outlineLevel="0" collapsed="false">
      <c r="A22" s="6" t="s">
        <v>40</v>
      </c>
      <c r="B22" s="7"/>
      <c r="C22" s="7"/>
    </row>
    <row r="23" customFormat="false" ht="18" hidden="false" customHeight="true" outlineLevel="0" collapsed="false">
      <c r="A23" s="11" t="s">
        <v>41</v>
      </c>
      <c r="B23" s="12" t="n">
        <v>1200</v>
      </c>
      <c r="C23" s="13" t="s">
        <v>42</v>
      </c>
    </row>
    <row r="24" customFormat="false" ht="18" hidden="false" customHeight="true" outlineLevel="0" collapsed="false">
      <c r="A24" s="8" t="s">
        <v>43</v>
      </c>
      <c r="B24" s="9" t="n">
        <v>200</v>
      </c>
      <c r="C24" s="10" t="s">
        <v>44</v>
      </c>
    </row>
    <row r="25" customFormat="false" ht="18" hidden="false" customHeight="true" outlineLevel="0" collapsed="false">
      <c r="A25" s="11" t="s">
        <v>45</v>
      </c>
      <c r="B25" s="12" t="n">
        <v>900</v>
      </c>
      <c r="C25" s="13"/>
    </row>
    <row r="26" customFormat="false" ht="18" hidden="false" customHeight="true" outlineLevel="0" collapsed="false">
      <c r="A26" s="8" t="s">
        <v>46</v>
      </c>
      <c r="B26" s="9" t="n">
        <v>160</v>
      </c>
      <c r="C26" s="10" t="s">
        <v>47</v>
      </c>
    </row>
    <row r="27" customFormat="false" ht="18" hidden="false" customHeight="true" outlineLevel="0" collapsed="false">
      <c r="A27" s="11" t="s">
        <v>48</v>
      </c>
      <c r="B27" s="12" t="n">
        <v>700</v>
      </c>
      <c r="C27" s="13"/>
    </row>
    <row r="28" customFormat="false" ht="18" hidden="false" customHeight="true" outlineLevel="0" collapsed="false">
      <c r="A28" s="8" t="s">
        <v>49</v>
      </c>
      <c r="B28" s="9" t="n">
        <v>130</v>
      </c>
      <c r="C28" s="10"/>
    </row>
    <row r="29" customFormat="false" ht="19.5" hidden="false" customHeight="true" outlineLevel="0" collapsed="false">
      <c r="A29" s="6" t="s">
        <v>50</v>
      </c>
      <c r="B29" s="7"/>
      <c r="C29" s="7"/>
    </row>
    <row r="30" customFormat="false" ht="18" hidden="false" customHeight="true" outlineLevel="0" collapsed="false">
      <c r="A30" s="8" t="s">
        <v>51</v>
      </c>
      <c r="B30" s="9" t="n">
        <v>500</v>
      </c>
      <c r="C30" s="10" t="s">
        <v>52</v>
      </c>
    </row>
    <row r="31" customFormat="false" ht="18" hidden="false" customHeight="true" outlineLevel="0" collapsed="false">
      <c r="A31" s="11" t="s">
        <v>53</v>
      </c>
      <c r="B31" s="12" t="n">
        <v>100</v>
      </c>
      <c r="C31" s="13" t="s">
        <v>52</v>
      </c>
    </row>
    <row r="32" customFormat="false" ht="19.5" hidden="false" customHeight="true" outlineLevel="0" collapsed="false">
      <c r="A32" s="6" t="s">
        <v>54</v>
      </c>
      <c r="B32" s="7"/>
      <c r="C32" s="7"/>
    </row>
    <row r="33" customFormat="false" ht="18" hidden="false" customHeight="true" outlineLevel="0" collapsed="false">
      <c r="A33" s="11" t="s">
        <v>55</v>
      </c>
      <c r="B33" s="15" t="n">
        <v>0.045</v>
      </c>
      <c r="C33" s="13" t="s">
        <v>56</v>
      </c>
    </row>
    <row r="34" customFormat="false" ht="18" hidden="false" customHeight="true" outlineLevel="0" collapsed="false">
      <c r="A34" s="8" t="s">
        <v>57</v>
      </c>
      <c r="B34" s="16" t="n">
        <v>0.04</v>
      </c>
      <c r="C34" s="10" t="s">
        <v>58</v>
      </c>
    </row>
    <row r="35" customFormat="false" ht="19.5" hidden="false" customHeight="true" outlineLevel="0" collapsed="false">
      <c r="A35" s="6" t="s">
        <v>59</v>
      </c>
      <c r="B35" s="7"/>
      <c r="C35" s="7"/>
    </row>
    <row r="36" customFormat="false" ht="18" hidden="false" customHeight="true" outlineLevel="0" collapsed="false">
      <c r="A36" s="8" t="s">
        <v>60</v>
      </c>
      <c r="B36" s="9" t="s">
        <v>9</v>
      </c>
      <c r="C36" s="10" t="s">
        <v>61</v>
      </c>
    </row>
    <row r="37" customFormat="false" ht="18" hidden="false" customHeight="true" outlineLevel="0" collapsed="false">
      <c r="A37" s="11" t="s">
        <v>62</v>
      </c>
      <c r="B37" s="17" t="n">
        <v>500</v>
      </c>
      <c r="C37" s="13" t="s">
        <v>63</v>
      </c>
    </row>
    <row r="38" customFormat="false" ht="18" hidden="false" customHeight="true" outlineLevel="0" collapsed="false">
      <c r="A38" s="8" t="s">
        <v>64</v>
      </c>
      <c r="B38" s="16" t="n">
        <v>0.25</v>
      </c>
      <c r="C38" s="10" t="s">
        <v>65</v>
      </c>
    </row>
    <row r="39" customFormat="false" ht="18" hidden="false" customHeight="true" outlineLevel="0" collapsed="false">
      <c r="A39" s="11" t="s">
        <v>66</v>
      </c>
      <c r="B39" s="17" t="n">
        <v>1500</v>
      </c>
      <c r="C39" s="13" t="s">
        <v>67</v>
      </c>
    </row>
    <row r="40" customFormat="false" ht="19.5" hidden="false" customHeight="true" outlineLevel="0" collapsed="false">
      <c r="A40" s="6" t="s">
        <v>68</v>
      </c>
      <c r="B40" s="7"/>
      <c r="C40" s="7"/>
    </row>
    <row r="41" customFormat="false" ht="18" hidden="false" customHeight="true" outlineLevel="0" collapsed="false">
      <c r="A41" s="11" t="s">
        <v>69</v>
      </c>
      <c r="B41" s="17" t="n">
        <v>299</v>
      </c>
      <c r="C41" s="13" t="s">
        <v>70</v>
      </c>
    </row>
    <row r="42" customFormat="false" ht="18" hidden="false" customHeight="true" outlineLevel="0" collapsed="false">
      <c r="A42" s="8" t="s">
        <v>71</v>
      </c>
      <c r="B42" s="14" t="n">
        <v>400</v>
      </c>
      <c r="C42" s="10" t="s">
        <v>72</v>
      </c>
    </row>
    <row r="43" customFormat="false" ht="18" hidden="false" customHeight="true" outlineLevel="0" collapsed="false">
      <c r="A43" s="11" t="s">
        <v>73</v>
      </c>
      <c r="B43" s="17" t="n">
        <v>39</v>
      </c>
      <c r="C43" s="13" t="s">
        <v>74</v>
      </c>
    </row>
    <row r="44" customFormat="false" ht="18" hidden="false" customHeight="true" outlineLevel="0" collapsed="false">
      <c r="A44" s="8" t="s">
        <v>75</v>
      </c>
      <c r="B44" s="14" t="n">
        <v>75</v>
      </c>
      <c r="C44" s="10" t="s">
        <v>76</v>
      </c>
    </row>
    <row r="45" customFormat="false" ht="19.5" hidden="false" customHeight="true" outlineLevel="0" collapsed="false">
      <c r="A45" s="6" t="s">
        <v>77</v>
      </c>
      <c r="B45" s="7"/>
      <c r="C45" s="7"/>
    </row>
    <row r="46" customFormat="false" ht="18" hidden="false" customHeight="true" outlineLevel="0" collapsed="false">
      <c r="A46" s="8" t="s">
        <v>78</v>
      </c>
      <c r="B46" s="14" t="n">
        <v>200</v>
      </c>
      <c r="C46" s="10" t="s">
        <v>79</v>
      </c>
    </row>
    <row r="47" customFormat="false" ht="18" hidden="false" customHeight="true" outlineLevel="0" collapsed="false">
      <c r="A47" s="11" t="s">
        <v>80</v>
      </c>
      <c r="B47" s="17" t="n">
        <v>25</v>
      </c>
      <c r="C47" s="13" t="s">
        <v>81</v>
      </c>
    </row>
    <row r="48" customFormat="false" ht="18" hidden="false" customHeight="true" outlineLevel="0" collapsed="false">
      <c r="A48" s="8" t="s">
        <v>82</v>
      </c>
      <c r="B48" s="14" t="n">
        <v>0</v>
      </c>
      <c r="C48" s="10" t="s">
        <v>83</v>
      </c>
    </row>
    <row r="49" customFormat="false" ht="18" hidden="false" customHeight="true" outlineLevel="0" collapsed="false">
      <c r="A49" s="11" t="s">
        <v>84</v>
      </c>
      <c r="B49" s="17" t="n">
        <v>20</v>
      </c>
      <c r="C49" s="13" t="s">
        <v>81</v>
      </c>
    </row>
    <row r="50" customFormat="false" ht="18" hidden="false" customHeight="true" outlineLevel="0" collapsed="false">
      <c r="A50" s="8" t="s">
        <v>85</v>
      </c>
      <c r="B50" s="14" t="n">
        <v>50</v>
      </c>
      <c r="C50" s="10" t="s">
        <v>86</v>
      </c>
    </row>
    <row r="51" customFormat="false" ht="19.5" hidden="false" customHeight="true" outlineLevel="0" collapsed="false">
      <c r="A51" s="6" t="s">
        <v>87</v>
      </c>
      <c r="B51" s="7"/>
      <c r="C51" s="7"/>
    </row>
    <row r="52" customFormat="false" ht="18" hidden="false" customHeight="true" outlineLevel="0" collapsed="false">
      <c r="A52" s="8" t="s">
        <v>88</v>
      </c>
      <c r="B52" s="14" t="n">
        <v>14</v>
      </c>
      <c r="C52" s="10" t="s">
        <v>89</v>
      </c>
    </row>
    <row r="53" customFormat="false" ht="18" hidden="false" customHeight="true" outlineLevel="0" collapsed="false">
      <c r="A53" s="11" t="s">
        <v>90</v>
      </c>
      <c r="B53" s="17" t="n">
        <v>29</v>
      </c>
      <c r="C53" s="13" t="s">
        <v>91</v>
      </c>
    </row>
    <row r="54" customFormat="false" ht="18" hidden="false" customHeight="true" outlineLevel="0" collapsed="false">
      <c r="A54" s="8" t="s">
        <v>92</v>
      </c>
      <c r="B54" s="14" t="n">
        <v>0</v>
      </c>
      <c r="C54" s="10" t="s">
        <v>93</v>
      </c>
    </row>
    <row r="55" customFormat="false" ht="18" hidden="false" customHeight="true" outlineLevel="0" collapsed="false">
      <c r="A55" s="11" t="s">
        <v>94</v>
      </c>
      <c r="B55" s="17" t="n">
        <v>39</v>
      </c>
      <c r="C55" s="13" t="s">
        <v>95</v>
      </c>
    </row>
    <row r="56" customFormat="false" ht="18" hidden="false" customHeight="true" outlineLevel="0" collapsed="false">
      <c r="A56" s="8" t="s">
        <v>96</v>
      </c>
      <c r="B56" s="14" t="n">
        <v>30</v>
      </c>
      <c r="C56" s="10" t="s">
        <v>97</v>
      </c>
    </row>
    <row r="57" customFormat="false" ht="19.5" hidden="false" customHeight="true" outlineLevel="0" collapsed="false">
      <c r="A57" s="18" t="s">
        <v>98</v>
      </c>
      <c r="B57" s="7"/>
      <c r="C57" s="7"/>
    </row>
    <row r="58" customFormat="false" ht="18" hidden="false" customHeight="true" outlineLevel="0" collapsed="false">
      <c r="A58" s="8" t="s">
        <v>99</v>
      </c>
      <c r="B58" s="14" t="n">
        <v>50</v>
      </c>
      <c r="C58" s="10" t="s">
        <v>100</v>
      </c>
    </row>
    <row r="59" customFormat="false" ht="18" hidden="false" customHeight="true" outlineLevel="0" collapsed="false">
      <c r="A59" s="11" t="s">
        <v>101</v>
      </c>
      <c r="B59" s="17" t="n">
        <v>75</v>
      </c>
      <c r="C59" s="13" t="s">
        <v>102</v>
      </c>
    </row>
    <row r="60" customFormat="false" ht="18" hidden="false" customHeight="true" outlineLevel="0" collapsed="false">
      <c r="A60" s="8" t="s">
        <v>103</v>
      </c>
      <c r="B60" s="14" t="n">
        <v>3000</v>
      </c>
      <c r="C60" s="10" t="s">
        <v>104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1"/>
    <col collapsed="false" customWidth="true" hidden="false" outlineLevel="0" max="14" min="14" style="1" width="13"/>
  </cols>
  <sheetData>
    <row r="1" customFormat="false" ht="27.7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3.5" hidden="false" customHeight="true" outlineLevel="0" collapsed="false">
      <c r="A2" s="19" t="s">
        <v>106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customFormat="false" ht="18" hidden="false" customHeight="true" outlineLevel="0" collapsed="false">
      <c r="A3" s="20" t="s">
        <v>107</v>
      </c>
      <c r="B3" s="4" t="s">
        <v>6</v>
      </c>
      <c r="C3" s="4" t="s">
        <v>108</v>
      </c>
      <c r="D3" s="4" t="s">
        <v>109</v>
      </c>
      <c r="E3" s="4" t="s">
        <v>9</v>
      </c>
      <c r="F3" s="4" t="s">
        <v>12</v>
      </c>
      <c r="G3" s="4" t="s">
        <v>110</v>
      </c>
      <c r="H3" s="4" t="s">
        <v>111</v>
      </c>
      <c r="I3" s="4" t="s">
        <v>112</v>
      </c>
      <c r="J3" s="4" t="s">
        <v>113</v>
      </c>
      <c r="K3" s="4" t="s">
        <v>114</v>
      </c>
      <c r="L3" s="4" t="s">
        <v>115</v>
      </c>
      <c r="M3" s="4" t="s">
        <v>116</v>
      </c>
      <c r="N3" s="4" t="s">
        <v>117</v>
      </c>
    </row>
    <row r="4" customFormat="false" ht="18.75" hidden="false" customHeight="true" outlineLevel="0" collapsed="false">
      <c r="A4" s="21" t="s">
        <v>118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6.5" hidden="false" customHeight="true" outlineLevel="0" collapsed="false">
      <c r="A5" s="22" t="s">
        <v>119</v>
      </c>
      <c r="B5" s="23" t="n">
        <v>950</v>
      </c>
      <c r="C5" s="23" t="n">
        <v>9690</v>
      </c>
      <c r="D5" s="23" t="n">
        <v>11438</v>
      </c>
      <c r="E5" s="23" t="n">
        <v>16036</v>
      </c>
      <c r="F5" s="23" t="n">
        <v>20520</v>
      </c>
      <c r="G5" s="23" t="n">
        <v>24814</v>
      </c>
      <c r="H5" s="23" t="n">
        <v>28766</v>
      </c>
      <c r="I5" s="23" t="n">
        <v>32813</v>
      </c>
      <c r="J5" s="23" t="n">
        <v>36898</v>
      </c>
      <c r="K5" s="23" t="n">
        <v>41059</v>
      </c>
      <c r="L5" s="23" t="n">
        <v>45258</v>
      </c>
      <c r="M5" s="23" t="n">
        <v>49476</v>
      </c>
      <c r="N5" s="24" t="n">
        <f aca="false">SUM(B5:M5)</f>
        <v>317718</v>
      </c>
    </row>
    <row r="6" customFormat="false" ht="16.5" hidden="false" customHeight="true" outlineLevel="0" collapsed="false">
      <c r="A6" s="25" t="s">
        <v>120</v>
      </c>
      <c r="B6" s="26" t="n">
        <v>-43</v>
      </c>
      <c r="C6" s="26" t="n">
        <v>-434</v>
      </c>
      <c r="D6" s="26" t="n">
        <v>-512</v>
      </c>
      <c r="E6" s="26" t="n">
        <v>-718</v>
      </c>
      <c r="F6" s="26" t="n">
        <v>-919</v>
      </c>
      <c r="G6" s="26" t="n">
        <v>-1111</v>
      </c>
      <c r="H6" s="26" t="n">
        <v>-1288</v>
      </c>
      <c r="I6" s="26" t="n">
        <v>-1470</v>
      </c>
      <c r="J6" s="26" t="n">
        <v>-1653</v>
      </c>
      <c r="K6" s="26" t="n">
        <v>-1839</v>
      </c>
      <c r="L6" s="26" t="n">
        <v>-2027</v>
      </c>
      <c r="M6" s="26" t="n">
        <v>-2216</v>
      </c>
      <c r="N6" s="26" t="n">
        <f aca="false">SUM(B6:M6)</f>
        <v>-14230</v>
      </c>
    </row>
    <row r="7" customFormat="false" ht="16.5" hidden="false" customHeight="true" outlineLevel="0" collapsed="false">
      <c r="A7" s="27" t="s">
        <v>121</v>
      </c>
      <c r="B7" s="28" t="n">
        <v>907</v>
      </c>
      <c r="C7" s="28" t="n">
        <v>9256</v>
      </c>
      <c r="D7" s="28" t="n">
        <v>10926</v>
      </c>
      <c r="E7" s="28" t="n">
        <v>15318</v>
      </c>
      <c r="F7" s="28" t="n">
        <v>19601</v>
      </c>
      <c r="G7" s="28" t="n">
        <v>23703</v>
      </c>
      <c r="H7" s="28" t="n">
        <v>27478</v>
      </c>
      <c r="I7" s="28" t="n">
        <v>31343</v>
      </c>
      <c r="J7" s="28" t="n">
        <v>35245</v>
      </c>
      <c r="K7" s="28" t="n">
        <v>39220</v>
      </c>
      <c r="L7" s="28" t="n">
        <v>43231</v>
      </c>
      <c r="M7" s="28" t="n">
        <v>47260</v>
      </c>
      <c r="N7" s="29" t="n">
        <f aca="false">SUM(B7:M7)</f>
        <v>303488</v>
      </c>
    </row>
    <row r="8" customFormat="false" ht="6" hidden="false" customHeight="true" outlineLevel="0" collapsed="false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customFormat="false" ht="16.5" hidden="false" customHeight="true" outlineLevel="0" collapsed="false">
      <c r="A9" s="22" t="s">
        <v>122</v>
      </c>
      <c r="B9" s="23" t="n">
        <v>0</v>
      </c>
      <c r="C9" s="23" t="n">
        <v>0</v>
      </c>
      <c r="D9" s="23" t="n">
        <v>0</v>
      </c>
      <c r="E9" s="23" t="n">
        <v>500</v>
      </c>
      <c r="F9" s="23" t="n">
        <v>625</v>
      </c>
      <c r="G9" s="23" t="n">
        <v>781</v>
      </c>
      <c r="H9" s="23" t="n">
        <v>977</v>
      </c>
      <c r="I9" s="23" t="n">
        <v>1221</v>
      </c>
      <c r="J9" s="23" t="n">
        <v>1500</v>
      </c>
      <c r="K9" s="23" t="n">
        <v>1500</v>
      </c>
      <c r="L9" s="23" t="n">
        <v>1500</v>
      </c>
      <c r="M9" s="23" t="n">
        <v>1500</v>
      </c>
      <c r="N9" s="24" t="n">
        <f aca="false">SUM(B9:M9)</f>
        <v>10104</v>
      </c>
    </row>
    <row r="10" customFormat="false" ht="6" hidden="false" customHeight="true" outlineLevel="0" collapsed="false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customFormat="false" ht="16.5" hidden="false" customHeight="true" outlineLevel="0" collapsed="false">
      <c r="A11" s="31" t="s">
        <v>123</v>
      </c>
      <c r="B11" s="32" t="n">
        <v>907</v>
      </c>
      <c r="C11" s="32" t="n">
        <v>9256</v>
      </c>
      <c r="D11" s="32" t="n">
        <v>10926</v>
      </c>
      <c r="E11" s="32" t="n">
        <v>15818</v>
      </c>
      <c r="F11" s="32" t="n">
        <v>20226</v>
      </c>
      <c r="G11" s="32" t="n">
        <v>24484</v>
      </c>
      <c r="H11" s="32" t="n">
        <v>28455</v>
      </c>
      <c r="I11" s="32" t="n">
        <v>32564</v>
      </c>
      <c r="J11" s="32" t="n">
        <v>36745</v>
      </c>
      <c r="K11" s="32" t="n">
        <v>40720</v>
      </c>
      <c r="L11" s="32" t="n">
        <v>44731</v>
      </c>
      <c r="M11" s="32" t="n">
        <v>48760</v>
      </c>
      <c r="N11" s="32" t="n">
        <f aca="false">SUM(B11:M11)</f>
        <v>313592</v>
      </c>
    </row>
    <row r="12" customFormat="false" ht="6" hidden="false" customHeight="tru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customFormat="false" ht="18.75" hidden="false" customHeight="true" outlineLevel="0" collapsed="false">
      <c r="A13" s="21" t="s">
        <v>124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6.5" hidden="false" customHeight="true" outlineLevel="0" collapsed="false">
      <c r="A14" s="33" t="s">
        <v>125</v>
      </c>
      <c r="B14" s="34" t="n">
        <v>299</v>
      </c>
      <c r="C14" s="34" t="n">
        <v>299</v>
      </c>
      <c r="D14" s="34" t="n">
        <v>299</v>
      </c>
      <c r="E14" s="34" t="n">
        <v>299</v>
      </c>
      <c r="F14" s="34" t="n">
        <v>299</v>
      </c>
      <c r="G14" s="34" t="n">
        <v>299</v>
      </c>
      <c r="H14" s="34" t="n">
        <v>299</v>
      </c>
      <c r="I14" s="34" t="n">
        <v>299</v>
      </c>
      <c r="J14" s="34" t="n">
        <v>299</v>
      </c>
      <c r="K14" s="34" t="n">
        <v>299</v>
      </c>
      <c r="L14" s="34" t="n">
        <v>299</v>
      </c>
      <c r="M14" s="34" t="n">
        <v>299</v>
      </c>
      <c r="N14" s="35" t="n">
        <f aca="false">SUM(B14:M14)</f>
        <v>3588</v>
      </c>
    </row>
    <row r="15" customFormat="false" ht="16.5" hidden="false" customHeight="true" outlineLevel="0" collapsed="false">
      <c r="A15" s="22" t="s">
        <v>126</v>
      </c>
      <c r="B15" s="23" t="n">
        <v>0</v>
      </c>
      <c r="C15" s="23" t="n">
        <v>0</v>
      </c>
      <c r="D15" s="23" t="n">
        <v>0</v>
      </c>
      <c r="E15" s="23" t="n">
        <v>400</v>
      </c>
      <c r="F15" s="23" t="n">
        <v>400</v>
      </c>
      <c r="G15" s="23" t="n">
        <v>400</v>
      </c>
      <c r="H15" s="23" t="n">
        <v>400</v>
      </c>
      <c r="I15" s="23" t="n">
        <v>400</v>
      </c>
      <c r="J15" s="23" t="n">
        <v>400</v>
      </c>
      <c r="K15" s="23" t="n">
        <v>400</v>
      </c>
      <c r="L15" s="23" t="n">
        <v>400</v>
      </c>
      <c r="M15" s="23" t="n">
        <v>400</v>
      </c>
      <c r="N15" s="24" t="n">
        <f aca="false">SUM(B15:M15)</f>
        <v>3600</v>
      </c>
    </row>
    <row r="16" customFormat="false" ht="16.5" hidden="false" customHeight="true" outlineLevel="0" collapsed="false">
      <c r="A16" s="33" t="s">
        <v>127</v>
      </c>
      <c r="B16" s="34" t="n">
        <v>39</v>
      </c>
      <c r="C16" s="34" t="n">
        <v>39</v>
      </c>
      <c r="D16" s="34" t="n">
        <v>39</v>
      </c>
      <c r="E16" s="34" t="n">
        <v>39</v>
      </c>
      <c r="F16" s="34" t="n">
        <v>39</v>
      </c>
      <c r="G16" s="34" t="n">
        <v>39</v>
      </c>
      <c r="H16" s="34" t="n">
        <v>39</v>
      </c>
      <c r="I16" s="34" t="n">
        <v>39</v>
      </c>
      <c r="J16" s="34" t="n">
        <v>39</v>
      </c>
      <c r="K16" s="34" t="n">
        <v>39</v>
      </c>
      <c r="L16" s="34" t="n">
        <v>39</v>
      </c>
      <c r="M16" s="34" t="n">
        <v>39</v>
      </c>
      <c r="N16" s="35" t="n">
        <f aca="false">SUM(B16:M16)</f>
        <v>468</v>
      </c>
    </row>
    <row r="17" customFormat="false" ht="16.5" hidden="false" customHeight="true" outlineLevel="0" collapsed="false">
      <c r="A17" s="22" t="s">
        <v>128</v>
      </c>
      <c r="B17" s="23" t="n">
        <v>75</v>
      </c>
      <c r="C17" s="23" t="n">
        <v>75</v>
      </c>
      <c r="D17" s="23" t="n">
        <v>75</v>
      </c>
      <c r="E17" s="23" t="n">
        <v>75</v>
      </c>
      <c r="F17" s="23" t="n">
        <v>75</v>
      </c>
      <c r="G17" s="23" t="n">
        <v>75</v>
      </c>
      <c r="H17" s="23" t="n">
        <v>75</v>
      </c>
      <c r="I17" s="23" t="n">
        <v>75</v>
      </c>
      <c r="J17" s="23" t="n">
        <v>75</v>
      </c>
      <c r="K17" s="23" t="n">
        <v>75</v>
      </c>
      <c r="L17" s="23" t="n">
        <v>75</v>
      </c>
      <c r="M17" s="23" t="n">
        <v>75</v>
      </c>
      <c r="N17" s="24" t="n">
        <f aca="false">SUM(B17:M17)</f>
        <v>900</v>
      </c>
    </row>
    <row r="18" customFormat="false" ht="16.5" hidden="false" customHeight="true" outlineLevel="0" collapsed="false">
      <c r="A18" s="36" t="s">
        <v>129</v>
      </c>
      <c r="B18" s="37" t="n">
        <v>413</v>
      </c>
      <c r="C18" s="37" t="n">
        <v>413</v>
      </c>
      <c r="D18" s="37" t="n">
        <v>413</v>
      </c>
      <c r="E18" s="37" t="n">
        <v>813</v>
      </c>
      <c r="F18" s="37" t="n">
        <v>813</v>
      </c>
      <c r="G18" s="37" t="n">
        <v>813</v>
      </c>
      <c r="H18" s="37" t="n">
        <v>813</v>
      </c>
      <c r="I18" s="37" t="n">
        <v>813</v>
      </c>
      <c r="J18" s="37" t="n">
        <v>813</v>
      </c>
      <c r="K18" s="37" t="n">
        <v>813</v>
      </c>
      <c r="L18" s="37" t="n">
        <v>813</v>
      </c>
      <c r="M18" s="37" t="n">
        <v>813</v>
      </c>
      <c r="N18" s="38" t="n">
        <f aca="false">SUM(B18:M18)</f>
        <v>8556</v>
      </c>
    </row>
    <row r="19" customFormat="false" ht="6" hidden="false" customHeight="tru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customFormat="false" ht="18.75" hidden="false" customHeight="true" outlineLevel="0" collapsed="false">
      <c r="A20" s="21" t="s">
        <v>130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6.5" hidden="false" customHeight="true" outlineLevel="0" collapsed="false">
      <c r="A21" s="22" t="s">
        <v>78</v>
      </c>
      <c r="B21" s="23" t="n">
        <v>200</v>
      </c>
      <c r="C21" s="23" t="n">
        <v>200</v>
      </c>
      <c r="D21" s="23" t="n">
        <v>200</v>
      </c>
      <c r="E21" s="23" t="n">
        <v>200</v>
      </c>
      <c r="F21" s="23" t="n">
        <v>200</v>
      </c>
      <c r="G21" s="23" t="n">
        <v>200</v>
      </c>
      <c r="H21" s="23" t="n">
        <v>200</v>
      </c>
      <c r="I21" s="23" t="n">
        <v>200</v>
      </c>
      <c r="J21" s="23" t="n">
        <v>200</v>
      </c>
      <c r="K21" s="23" t="n">
        <v>200</v>
      </c>
      <c r="L21" s="23" t="n">
        <v>200</v>
      </c>
      <c r="M21" s="23" t="n">
        <v>200</v>
      </c>
      <c r="N21" s="24" t="n">
        <f aca="false">SUM(B21:M21)</f>
        <v>2400</v>
      </c>
    </row>
    <row r="22" customFormat="false" ht="16.5" hidden="false" customHeight="true" outlineLevel="0" collapsed="false">
      <c r="A22" s="33" t="s">
        <v>131</v>
      </c>
      <c r="B22" s="34" t="n">
        <v>25</v>
      </c>
      <c r="C22" s="34" t="n">
        <v>25</v>
      </c>
      <c r="D22" s="34" t="n">
        <v>25</v>
      </c>
      <c r="E22" s="34" t="n">
        <v>25</v>
      </c>
      <c r="F22" s="34" t="n">
        <v>25</v>
      </c>
      <c r="G22" s="34" t="n">
        <v>25</v>
      </c>
      <c r="H22" s="34" t="n">
        <v>25</v>
      </c>
      <c r="I22" s="34" t="n">
        <v>25</v>
      </c>
      <c r="J22" s="34" t="n">
        <v>25</v>
      </c>
      <c r="K22" s="34" t="n">
        <v>25</v>
      </c>
      <c r="L22" s="34" t="n">
        <v>25</v>
      </c>
      <c r="M22" s="34" t="n">
        <v>25</v>
      </c>
      <c r="N22" s="35" t="n">
        <f aca="false">SUM(B22:M22)</f>
        <v>300</v>
      </c>
    </row>
    <row r="23" customFormat="false" ht="16.5" hidden="false" customHeight="true" outlineLevel="0" collapsed="false">
      <c r="A23" s="22" t="s">
        <v>132</v>
      </c>
      <c r="B23" s="23" t="n">
        <v>20</v>
      </c>
      <c r="C23" s="23" t="n">
        <v>20</v>
      </c>
      <c r="D23" s="23" t="n">
        <v>20</v>
      </c>
      <c r="E23" s="23" t="n">
        <v>20</v>
      </c>
      <c r="F23" s="23" t="n">
        <v>20</v>
      </c>
      <c r="G23" s="23" t="n">
        <v>20</v>
      </c>
      <c r="H23" s="23" t="n">
        <v>20</v>
      </c>
      <c r="I23" s="23" t="n">
        <v>20</v>
      </c>
      <c r="J23" s="23" t="n">
        <v>20</v>
      </c>
      <c r="K23" s="23" t="n">
        <v>20</v>
      </c>
      <c r="L23" s="23" t="n">
        <v>20</v>
      </c>
      <c r="M23" s="23" t="n">
        <v>20</v>
      </c>
      <c r="N23" s="24" t="n">
        <f aca="false">SUM(B23:M23)</f>
        <v>240</v>
      </c>
    </row>
    <row r="24" customFormat="false" ht="16.5" hidden="false" customHeight="true" outlineLevel="0" collapsed="false">
      <c r="A24" s="33" t="s">
        <v>133</v>
      </c>
      <c r="B24" s="34" t="n">
        <v>50</v>
      </c>
      <c r="C24" s="34" t="n">
        <v>50</v>
      </c>
      <c r="D24" s="34" t="n">
        <v>50</v>
      </c>
      <c r="E24" s="34" t="n">
        <v>50</v>
      </c>
      <c r="F24" s="34" t="n">
        <v>50</v>
      </c>
      <c r="G24" s="34" t="n">
        <v>50</v>
      </c>
      <c r="H24" s="34" t="n">
        <v>50</v>
      </c>
      <c r="I24" s="34" t="n">
        <v>50</v>
      </c>
      <c r="J24" s="34" t="n">
        <v>50</v>
      </c>
      <c r="K24" s="34" t="n">
        <v>50</v>
      </c>
      <c r="L24" s="34" t="n">
        <v>50</v>
      </c>
      <c r="M24" s="34" t="n">
        <v>50</v>
      </c>
      <c r="N24" s="35" t="n">
        <f aca="false">SUM(B24:M24)</f>
        <v>600</v>
      </c>
    </row>
    <row r="25" customFormat="false" ht="16.5" hidden="false" customHeight="true" outlineLevel="0" collapsed="false">
      <c r="A25" s="27" t="s">
        <v>134</v>
      </c>
      <c r="B25" s="28" t="n">
        <v>295</v>
      </c>
      <c r="C25" s="28" t="n">
        <v>295</v>
      </c>
      <c r="D25" s="28" t="n">
        <v>295</v>
      </c>
      <c r="E25" s="28" t="n">
        <v>295</v>
      </c>
      <c r="F25" s="28" t="n">
        <v>295</v>
      </c>
      <c r="G25" s="28" t="n">
        <v>295</v>
      </c>
      <c r="H25" s="28" t="n">
        <v>295</v>
      </c>
      <c r="I25" s="28" t="n">
        <v>295</v>
      </c>
      <c r="J25" s="28" t="n">
        <v>295</v>
      </c>
      <c r="K25" s="28" t="n">
        <v>295</v>
      </c>
      <c r="L25" s="28" t="n">
        <v>295</v>
      </c>
      <c r="M25" s="28" t="n">
        <v>295</v>
      </c>
      <c r="N25" s="29" t="n">
        <f aca="false">SUM(B25:M25)</f>
        <v>3540</v>
      </c>
    </row>
    <row r="26" customFormat="false" ht="6" hidden="false" customHeight="tru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customFormat="false" ht="16.5" hidden="false" customHeight="true" outlineLevel="0" collapsed="false">
      <c r="A27" s="31" t="s">
        <v>135</v>
      </c>
      <c r="B27" s="32" t="n">
        <v>708</v>
      </c>
      <c r="C27" s="32" t="n">
        <v>708</v>
      </c>
      <c r="D27" s="32" t="n">
        <v>708</v>
      </c>
      <c r="E27" s="32" t="n">
        <v>1108</v>
      </c>
      <c r="F27" s="32" t="n">
        <v>1108</v>
      </c>
      <c r="G27" s="32" t="n">
        <v>1108</v>
      </c>
      <c r="H27" s="32" t="n">
        <v>1108</v>
      </c>
      <c r="I27" s="32" t="n">
        <v>1108</v>
      </c>
      <c r="J27" s="32" t="n">
        <v>1108</v>
      </c>
      <c r="K27" s="32" t="n">
        <v>1108</v>
      </c>
      <c r="L27" s="32" t="n">
        <v>1108</v>
      </c>
      <c r="M27" s="32" t="n">
        <v>1108</v>
      </c>
      <c r="N27" s="32" t="n">
        <f aca="false">SUM(B27:M27)</f>
        <v>12096</v>
      </c>
    </row>
    <row r="28" customFormat="false" ht="6" hidden="false" customHeight="true" outlineLevel="0" collapsed="false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customFormat="false" ht="16.5" hidden="false" customHeight="true" outlineLevel="0" collapsed="false">
      <c r="A29" s="27" t="s">
        <v>136</v>
      </c>
      <c r="B29" s="28" t="n">
        <v>199</v>
      </c>
      <c r="C29" s="28" t="n">
        <v>8548</v>
      </c>
      <c r="D29" s="28" t="n">
        <v>10218</v>
      </c>
      <c r="E29" s="28" t="n">
        <v>14710</v>
      </c>
      <c r="F29" s="28" t="n">
        <v>19118</v>
      </c>
      <c r="G29" s="28" t="n">
        <v>23376</v>
      </c>
      <c r="H29" s="28" t="n">
        <v>27347</v>
      </c>
      <c r="I29" s="28" t="n">
        <v>31456</v>
      </c>
      <c r="J29" s="28" t="n">
        <v>35637</v>
      </c>
      <c r="K29" s="28" t="n">
        <v>39612</v>
      </c>
      <c r="L29" s="28" t="n">
        <v>43623</v>
      </c>
      <c r="M29" s="28" t="n">
        <v>47652</v>
      </c>
      <c r="N29" s="29" t="n">
        <f aca="false">SUM(B29:M29)</f>
        <v>301496</v>
      </c>
    </row>
    <row r="30" customFormat="false" ht="16.5" hidden="false" customHeight="true" outlineLevel="0" collapsed="false">
      <c r="A30" s="39" t="s">
        <v>137</v>
      </c>
      <c r="B30" s="40" t="n">
        <f aca="false">IF(B11=0,0,B29/B11)</f>
        <v>0.219404630650496</v>
      </c>
      <c r="C30" s="40" t="n">
        <f aca="false">IF(C11=0,0,C29/C11)</f>
        <v>0.923509075194469</v>
      </c>
      <c r="D30" s="40" t="n">
        <f aca="false">IF(D11=0,0,D29/D11)</f>
        <v>0.935200439319056</v>
      </c>
      <c r="E30" s="40" t="n">
        <f aca="false">IF(E11=0,0,E29/E11)</f>
        <v>0.929953217853079</v>
      </c>
      <c r="F30" s="40" t="n">
        <f aca="false">IF(F11=0,0,F29/F11)</f>
        <v>0.945219025017305</v>
      </c>
      <c r="G30" s="40" t="n">
        <f aca="false">IF(G11=0,0,G29/G11)</f>
        <v>0.954745956543049</v>
      </c>
      <c r="H30" s="40" t="n">
        <f aca="false">IF(H11=0,0,H29/H11)</f>
        <v>0.961061324898963</v>
      </c>
      <c r="I30" s="40" t="n">
        <f aca="false">IF(I11=0,0,I29/I11)</f>
        <v>0.965974695983294</v>
      </c>
      <c r="J30" s="40" t="n">
        <f aca="false">IF(J11=0,0,J29/J11)</f>
        <v>0.969846237583345</v>
      </c>
      <c r="K30" s="40" t="n">
        <f aca="false">IF(K11=0,0,K29/K11)</f>
        <v>0.97278978388998</v>
      </c>
      <c r="L30" s="40" t="n">
        <f aca="false">IF(L11=0,0,L29/L11)</f>
        <v>0.975229706467551</v>
      </c>
      <c r="M30" s="40" t="n">
        <f aca="false">IF(M11=0,0,M29/M11)</f>
        <v>0.977276456111567</v>
      </c>
      <c r="N30" s="40" t="n">
        <f aca="false">IF(N11=0,0,N29/N11)</f>
        <v>0.961427587438455</v>
      </c>
    </row>
    <row r="31" customFormat="false" ht="6" hidden="false" customHeight="true" outlineLevel="0" collapsed="false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customFormat="false" ht="18.75" hidden="false" customHeight="true" outlineLevel="0" collapsed="false">
      <c r="A32" s="21" t="s">
        <v>138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6.5" hidden="false" customHeight="true" outlineLevel="0" collapsed="false">
      <c r="A33" s="22" t="s">
        <v>139</v>
      </c>
      <c r="B33" s="23" t="n">
        <v>14</v>
      </c>
      <c r="C33" s="23" t="n">
        <v>14</v>
      </c>
      <c r="D33" s="23" t="n">
        <v>14</v>
      </c>
      <c r="E33" s="23" t="n">
        <v>14</v>
      </c>
      <c r="F33" s="23" t="n">
        <v>14</v>
      </c>
      <c r="G33" s="23" t="n">
        <v>14</v>
      </c>
      <c r="H33" s="23" t="n">
        <v>14</v>
      </c>
      <c r="I33" s="23" t="n">
        <v>14</v>
      </c>
      <c r="J33" s="23" t="n">
        <v>14</v>
      </c>
      <c r="K33" s="23" t="n">
        <v>14</v>
      </c>
      <c r="L33" s="23" t="n">
        <v>14</v>
      </c>
      <c r="M33" s="23" t="n">
        <v>14</v>
      </c>
      <c r="N33" s="24" t="n">
        <f aca="false">SUM(B33:M33)</f>
        <v>168</v>
      </c>
    </row>
    <row r="34" customFormat="false" ht="16.5" hidden="false" customHeight="true" outlineLevel="0" collapsed="false">
      <c r="A34" s="33" t="s">
        <v>90</v>
      </c>
      <c r="B34" s="34" t="n">
        <v>29</v>
      </c>
      <c r="C34" s="34" t="n">
        <v>29</v>
      </c>
      <c r="D34" s="34" t="n">
        <v>29</v>
      </c>
      <c r="E34" s="34" t="n">
        <v>29</v>
      </c>
      <c r="F34" s="34" t="n">
        <v>29</v>
      </c>
      <c r="G34" s="34" t="n">
        <v>29</v>
      </c>
      <c r="H34" s="34" t="n">
        <v>29</v>
      </c>
      <c r="I34" s="34" t="n">
        <v>29</v>
      </c>
      <c r="J34" s="34" t="n">
        <v>29</v>
      </c>
      <c r="K34" s="34" t="n">
        <v>29</v>
      </c>
      <c r="L34" s="34" t="n">
        <v>29</v>
      </c>
      <c r="M34" s="34" t="n">
        <v>29</v>
      </c>
      <c r="N34" s="35" t="n">
        <f aca="false">SUM(B34:M34)</f>
        <v>348</v>
      </c>
    </row>
    <row r="35" customFormat="false" ht="16.5" hidden="false" customHeight="true" outlineLevel="0" collapsed="false">
      <c r="A35" s="22" t="s">
        <v>94</v>
      </c>
      <c r="B35" s="23" t="n">
        <v>39</v>
      </c>
      <c r="C35" s="23" t="n">
        <v>39</v>
      </c>
      <c r="D35" s="23" t="n">
        <v>39</v>
      </c>
      <c r="E35" s="23" t="n">
        <v>39</v>
      </c>
      <c r="F35" s="23" t="n">
        <v>39</v>
      </c>
      <c r="G35" s="23" t="n">
        <v>39</v>
      </c>
      <c r="H35" s="23" t="n">
        <v>39</v>
      </c>
      <c r="I35" s="23" t="n">
        <v>39</v>
      </c>
      <c r="J35" s="23" t="n">
        <v>39</v>
      </c>
      <c r="K35" s="23" t="n">
        <v>39</v>
      </c>
      <c r="L35" s="23" t="n">
        <v>39</v>
      </c>
      <c r="M35" s="23" t="n">
        <v>39</v>
      </c>
      <c r="N35" s="24" t="n">
        <f aca="false">SUM(B35:M35)</f>
        <v>468</v>
      </c>
    </row>
    <row r="36" customFormat="false" ht="16.5" hidden="false" customHeight="true" outlineLevel="0" collapsed="false">
      <c r="A36" s="33" t="s">
        <v>140</v>
      </c>
      <c r="B36" s="34" t="n">
        <v>30</v>
      </c>
      <c r="C36" s="34" t="n">
        <v>30</v>
      </c>
      <c r="D36" s="34" t="n">
        <v>30</v>
      </c>
      <c r="E36" s="34" t="n">
        <v>30</v>
      </c>
      <c r="F36" s="34" t="n">
        <v>30</v>
      </c>
      <c r="G36" s="34" t="n">
        <v>30</v>
      </c>
      <c r="H36" s="34" t="n">
        <v>30</v>
      </c>
      <c r="I36" s="34" t="n">
        <v>30</v>
      </c>
      <c r="J36" s="34" t="n">
        <v>30</v>
      </c>
      <c r="K36" s="34" t="n">
        <v>30</v>
      </c>
      <c r="L36" s="34" t="n">
        <v>30</v>
      </c>
      <c r="M36" s="34" t="n">
        <v>30</v>
      </c>
      <c r="N36" s="35" t="n">
        <f aca="false">SUM(B36:M36)</f>
        <v>360</v>
      </c>
    </row>
    <row r="37" customFormat="false" ht="16.5" hidden="false" customHeight="true" outlineLevel="0" collapsed="false">
      <c r="A37" s="1" t="s">
        <v>99</v>
      </c>
      <c r="B37" s="1" t="n">
        <v>50</v>
      </c>
      <c r="C37" s="1" t="n">
        <v>50</v>
      </c>
      <c r="D37" s="1" t="n">
        <v>50</v>
      </c>
      <c r="E37" s="1" t="n">
        <v>50</v>
      </c>
      <c r="F37" s="1" t="n">
        <v>50</v>
      </c>
      <c r="G37" s="1" t="n">
        <v>50</v>
      </c>
      <c r="H37" s="1" t="n">
        <v>50</v>
      </c>
      <c r="I37" s="1" t="n">
        <v>50</v>
      </c>
      <c r="J37" s="1" t="n">
        <v>50</v>
      </c>
      <c r="K37" s="1" t="n">
        <v>50</v>
      </c>
      <c r="L37" s="1" t="n">
        <v>50</v>
      </c>
      <c r="M37" s="1" t="n">
        <v>50</v>
      </c>
      <c r="N37" s="1" t="n">
        <f aca="false">SUM(B37:M37)</f>
        <v>600</v>
      </c>
    </row>
    <row r="38" customFormat="false" ht="6" hidden="false" customHeight="true" outlineLevel="0" collapsed="false">
      <c r="A38" s="1" t="s">
        <v>101</v>
      </c>
      <c r="B38" s="1" t="n">
        <v>75</v>
      </c>
      <c r="C38" s="1" t="n">
        <v>75</v>
      </c>
      <c r="D38" s="1" t="n">
        <v>75</v>
      </c>
      <c r="E38" s="1" t="n">
        <v>75</v>
      </c>
      <c r="F38" s="1" t="n">
        <v>75</v>
      </c>
      <c r="G38" s="1" t="n">
        <v>75</v>
      </c>
      <c r="H38" s="1" t="n">
        <v>75</v>
      </c>
      <c r="I38" s="1" t="n">
        <v>75</v>
      </c>
      <c r="J38" s="1" t="n">
        <v>75</v>
      </c>
      <c r="K38" s="1" t="n">
        <v>75</v>
      </c>
      <c r="L38" s="1" t="n">
        <v>75</v>
      </c>
      <c r="M38" s="1" t="n">
        <v>75</v>
      </c>
      <c r="N38" s="1" t="n">
        <f aca="false">SUM(B38:M38)</f>
        <v>900</v>
      </c>
    </row>
    <row r="39" customFormat="false" ht="18.75" hidden="false" customHeight="true" outlineLevel="0" collapsed="false">
      <c r="A39" s="27" t="s">
        <v>141</v>
      </c>
      <c r="B39" s="28" t="n">
        <f aca="false">SUM(B33:B38)</f>
        <v>237</v>
      </c>
      <c r="C39" s="28" t="n">
        <f aca="false">SUM(C33:C38)</f>
        <v>237</v>
      </c>
      <c r="D39" s="28" t="n">
        <f aca="false">SUM(D33:D38)</f>
        <v>237</v>
      </c>
      <c r="E39" s="28" t="n">
        <f aca="false">SUM(E33:E38)</f>
        <v>237</v>
      </c>
      <c r="F39" s="28" t="n">
        <f aca="false">SUM(F33:F38)</f>
        <v>237</v>
      </c>
      <c r="G39" s="28" t="n">
        <f aca="false">SUM(G33:G38)</f>
        <v>237</v>
      </c>
      <c r="H39" s="28" t="n">
        <f aca="false">SUM(H33:H38)</f>
        <v>237</v>
      </c>
      <c r="I39" s="28" t="n">
        <f aca="false">SUM(I33:I38)</f>
        <v>237</v>
      </c>
      <c r="J39" s="28" t="n">
        <f aca="false">SUM(J33:J38)</f>
        <v>237</v>
      </c>
      <c r="K39" s="28" t="n">
        <f aca="false">SUM(K33:K38)</f>
        <v>237</v>
      </c>
      <c r="L39" s="28" t="n">
        <f aca="false">SUM(L33:L38)</f>
        <v>237</v>
      </c>
      <c r="M39" s="28" t="n">
        <f aca="false">SUM(M33:M38)</f>
        <v>237</v>
      </c>
      <c r="N39" s="29" t="n">
        <f aca="false">SUM(B39:M39)</f>
        <v>2844</v>
      </c>
    </row>
    <row r="40" customFormat="false" ht="16.5" hidden="false" customHeight="tru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customFormat="false" ht="16.5" hidden="false" customHeight="true" outlineLevel="0" collapsed="false">
      <c r="A41" s="21" t="s">
        <v>142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6.5" hidden="false" customHeight="true" outlineLevel="0" collapsed="false">
      <c r="A42" s="33" t="s">
        <v>143</v>
      </c>
      <c r="B42" s="34" t="n">
        <v>2000</v>
      </c>
      <c r="C42" s="34" t="n">
        <v>0</v>
      </c>
      <c r="D42" s="34" t="n">
        <v>0</v>
      </c>
      <c r="E42" s="34" t="n">
        <v>0</v>
      </c>
      <c r="F42" s="34" t="n">
        <v>0</v>
      </c>
      <c r="G42" s="34" t="n">
        <v>0</v>
      </c>
      <c r="H42" s="34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35" t="n">
        <f aca="false">SUM(B42:M42)</f>
        <v>2000</v>
      </c>
    </row>
    <row r="43" customFormat="false" ht="16.5" hidden="false" customHeight="true" outlineLevel="0" collapsed="false">
      <c r="A43" s="22" t="s">
        <v>144</v>
      </c>
      <c r="B43" s="23" t="n">
        <v>1500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4" t="n">
        <f aca="false">SUM(B43:M43)</f>
        <v>1500</v>
      </c>
    </row>
    <row r="44" customFormat="false" ht="6" hidden="false" customHeight="true" outlineLevel="0" collapsed="false">
      <c r="A44" s="33" t="s">
        <v>145</v>
      </c>
      <c r="B44" s="34" t="n">
        <v>3000</v>
      </c>
      <c r="C44" s="34" t="n">
        <v>0</v>
      </c>
      <c r="D44" s="34" t="n">
        <v>0</v>
      </c>
      <c r="E44" s="34" t="n">
        <v>0</v>
      </c>
      <c r="F44" s="34" t="n">
        <v>0</v>
      </c>
      <c r="G44" s="34" t="n">
        <v>0</v>
      </c>
      <c r="H44" s="34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35" t="n">
        <f aca="false">SUM(B44:M44)</f>
        <v>3000</v>
      </c>
    </row>
    <row r="45" customFormat="false" ht="16.5" hidden="false" customHeight="true" outlineLevel="0" collapsed="false">
      <c r="A45" s="27" t="s">
        <v>146</v>
      </c>
      <c r="B45" s="28" t="n">
        <v>6500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9" t="n">
        <f aca="false">SUM(B45:M45)</f>
        <v>6500</v>
      </c>
    </row>
    <row r="46" customFormat="false" ht="6" hidden="false" customHeight="tru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customFormat="false" ht="16.5" hidden="false" customHeight="true" outlineLevel="0" collapsed="false">
      <c r="A47" s="31" t="s">
        <v>147</v>
      </c>
      <c r="B47" s="32" t="n">
        <f aca="false">B39+B45</f>
        <v>6737</v>
      </c>
      <c r="C47" s="32" t="n">
        <f aca="false">C39+C45</f>
        <v>237</v>
      </c>
      <c r="D47" s="32" t="n">
        <f aca="false">D39+D45</f>
        <v>237</v>
      </c>
      <c r="E47" s="32" t="n">
        <f aca="false">E39+E45</f>
        <v>237</v>
      </c>
      <c r="F47" s="32" t="n">
        <f aca="false">F39+F45</f>
        <v>237</v>
      </c>
      <c r="G47" s="32" t="n">
        <f aca="false">G39+G45</f>
        <v>237</v>
      </c>
      <c r="H47" s="32" t="n">
        <f aca="false">H39+H45</f>
        <v>237</v>
      </c>
      <c r="I47" s="32" t="n">
        <f aca="false">I39+I45</f>
        <v>237</v>
      </c>
      <c r="J47" s="32" t="n">
        <f aca="false">J39+J45</f>
        <v>237</v>
      </c>
      <c r="K47" s="32" t="n">
        <f aca="false">K39+K45</f>
        <v>237</v>
      </c>
      <c r="L47" s="32" t="n">
        <f aca="false">L39+L45</f>
        <v>237</v>
      </c>
      <c r="M47" s="32" t="n">
        <f aca="false">M39+M45</f>
        <v>237</v>
      </c>
      <c r="N47" s="32" t="n">
        <f aca="false">SUM(B47:M47)</f>
        <v>9344</v>
      </c>
    </row>
    <row r="48" customFormat="false" ht="16.5" hidden="false" customHeight="tru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customFormat="false" ht="6" hidden="false" customHeight="true" outlineLevel="0" collapsed="false">
      <c r="A49" s="41" t="s">
        <v>148</v>
      </c>
      <c r="B49" s="42" t="n">
        <f aca="false">B11-B27-B47</f>
        <v>-6538</v>
      </c>
      <c r="C49" s="42" t="n">
        <f aca="false">C11-C27-C47</f>
        <v>8311</v>
      </c>
      <c r="D49" s="42" t="n">
        <f aca="false">D11-D27-D47</f>
        <v>9981</v>
      </c>
      <c r="E49" s="42" t="n">
        <f aca="false">E11-E27-E47</f>
        <v>14473</v>
      </c>
      <c r="F49" s="42" t="n">
        <f aca="false">F11-F27-F47</f>
        <v>18881</v>
      </c>
      <c r="G49" s="42" t="n">
        <f aca="false">G11-G27-G47</f>
        <v>23139</v>
      </c>
      <c r="H49" s="42" t="n">
        <f aca="false">H11-H27-H47</f>
        <v>27110</v>
      </c>
      <c r="I49" s="42" t="n">
        <f aca="false">I11-I27-I47</f>
        <v>31219</v>
      </c>
      <c r="J49" s="42" t="n">
        <f aca="false">J11-J27-J47</f>
        <v>35400</v>
      </c>
      <c r="K49" s="42" t="n">
        <f aca="false">K11-K27-K47</f>
        <v>39375</v>
      </c>
      <c r="L49" s="42" t="n">
        <f aca="false">L11-L27-L47</f>
        <v>43386</v>
      </c>
      <c r="M49" s="42" t="n">
        <f aca="false">M11-M27-M47</f>
        <v>47415</v>
      </c>
      <c r="N49" s="42" t="n">
        <f aca="false">SUM(B49:M49)</f>
        <v>292152</v>
      </c>
    </row>
    <row r="50" customFormat="false" ht="18.75" hidden="false" customHeight="true" outlineLevel="0" collapsed="false">
      <c r="A50" s="43" t="s">
        <v>149</v>
      </c>
      <c r="B50" s="44" t="n">
        <f aca="false">IF(B11=0,0,B49/B11)</f>
        <v>-7.20837927232635</v>
      </c>
      <c r="C50" s="44" t="n">
        <f aca="false">IF(C11=0,0,C49/C11)</f>
        <v>0.897904062229905</v>
      </c>
      <c r="D50" s="44" t="n">
        <f aca="false">IF(D11=0,0,D49/D11)</f>
        <v>0.913509060955519</v>
      </c>
      <c r="E50" s="44" t="n">
        <f aca="false">IF(E11=0,0,E49/E11)</f>
        <v>0.914970287014793</v>
      </c>
      <c r="F50" s="44" t="n">
        <f aca="false">IF(F11=0,0,F49/F11)</f>
        <v>0.933501433798082</v>
      </c>
      <c r="G50" s="44" t="n">
        <f aca="false">IF(G11=0,0,G49/G11)</f>
        <v>0.945066165659206</v>
      </c>
      <c r="H50" s="44" t="n">
        <f aca="false">IF(H11=0,0,H49/H11)</f>
        <v>0.952732384466702</v>
      </c>
      <c r="I50" s="44" t="n">
        <f aca="false">IF(I11=0,0,I49/I11)</f>
        <v>0.958696720304631</v>
      </c>
      <c r="J50" s="44" t="n">
        <f aca="false">IF(J11=0,0,J49/J11)</f>
        <v>0.963396380459927</v>
      </c>
      <c r="K50" s="44" t="n">
        <f aca="false">IF(K11=0,0,K49/K11)</f>
        <v>0.966969548133595</v>
      </c>
      <c r="L50" s="44" t="n">
        <f aca="false">IF(L11=0,0,L49/L11)</f>
        <v>0.969931367507992</v>
      </c>
      <c r="M50" s="44" t="n">
        <f aca="false">IF(M11=0,0,M49/M11)</f>
        <v>0.972415914684167</v>
      </c>
      <c r="N50" s="44" t="n">
        <f aca="false">IF(N11=0,0,N49/N11)</f>
        <v>0.931630908951759</v>
      </c>
    </row>
    <row r="51" customFormat="false" ht="16.5" hidden="false" customHeight="tru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customFormat="false" ht="16.5" hidden="false" customHeight="true" outlineLevel="0" collapsed="false">
      <c r="A52" s="21" t="s">
        <v>150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6.5" hidden="false" customHeight="true" outlineLevel="0" collapsed="false">
      <c r="A53" s="22" t="s">
        <v>151</v>
      </c>
      <c r="B53" s="45" t="n">
        <v>50</v>
      </c>
      <c r="C53" s="45" t="n">
        <v>510</v>
      </c>
      <c r="D53" s="45" t="n">
        <v>602</v>
      </c>
      <c r="E53" s="45" t="n">
        <v>844</v>
      </c>
      <c r="F53" s="45" t="n">
        <v>1080</v>
      </c>
      <c r="G53" s="45" t="n">
        <v>1306</v>
      </c>
      <c r="H53" s="45" t="n">
        <v>1514</v>
      </c>
      <c r="I53" s="45" t="n">
        <v>1727</v>
      </c>
      <c r="J53" s="45" t="n">
        <v>1942</v>
      </c>
      <c r="K53" s="45" t="n">
        <v>2161</v>
      </c>
      <c r="L53" s="45" t="n">
        <v>2382</v>
      </c>
      <c r="M53" s="45" t="n">
        <v>2604</v>
      </c>
      <c r="N53" s="46" t="n">
        <f aca="false">M53</f>
        <v>2604</v>
      </c>
    </row>
    <row r="54" customFormat="false" ht="16.5" hidden="false" customHeight="true" outlineLevel="0" collapsed="false">
      <c r="A54" s="33" t="s">
        <v>152</v>
      </c>
      <c r="B54" s="34" t="n">
        <v>950</v>
      </c>
      <c r="C54" s="34" t="n">
        <v>9690</v>
      </c>
      <c r="D54" s="34" t="n">
        <v>11438</v>
      </c>
      <c r="E54" s="34" t="n">
        <v>16036</v>
      </c>
      <c r="F54" s="34" t="n">
        <v>20520</v>
      </c>
      <c r="G54" s="34" t="n">
        <v>24814</v>
      </c>
      <c r="H54" s="34" t="n">
        <v>28766</v>
      </c>
      <c r="I54" s="34" t="n">
        <v>32813</v>
      </c>
      <c r="J54" s="34" t="n">
        <v>36898</v>
      </c>
      <c r="K54" s="34" t="n">
        <v>41059</v>
      </c>
      <c r="L54" s="34" t="n">
        <v>45258</v>
      </c>
      <c r="M54" s="34" t="n">
        <v>49476</v>
      </c>
      <c r="N54" s="35" t="n">
        <f aca="false">M54</f>
        <v>49476</v>
      </c>
    </row>
    <row r="55" customFormat="false" ht="15" hidden="false" customHeight="true" outlineLevel="0" collapsed="false">
      <c r="A55" s="22" t="s">
        <v>153</v>
      </c>
      <c r="B55" s="45" t="n">
        <v>1850</v>
      </c>
      <c r="C55" s="45" t="n">
        <v>1878</v>
      </c>
      <c r="D55" s="45" t="n">
        <v>2315</v>
      </c>
      <c r="E55" s="45" t="n">
        <v>3688</v>
      </c>
      <c r="F55" s="45" t="n">
        <v>4710</v>
      </c>
      <c r="G55" s="45" t="n">
        <v>5491</v>
      </c>
      <c r="H55" s="45" t="n">
        <v>6032</v>
      </c>
      <c r="I55" s="45" t="n">
        <v>6564</v>
      </c>
      <c r="J55" s="45" t="n">
        <v>7086</v>
      </c>
      <c r="K55" s="45" t="n">
        <v>7599</v>
      </c>
      <c r="L55" s="45" t="n">
        <v>8102</v>
      </c>
      <c r="M55" s="45" t="n">
        <v>8595</v>
      </c>
      <c r="N55" s="46" t="n">
        <f aca="false">M55</f>
        <v>8595</v>
      </c>
    </row>
    <row r="56" customFormat="false" ht="15" hidden="false" customHeight="true" outlineLevel="0" collapsed="false">
      <c r="A56" s="33" t="s">
        <v>154</v>
      </c>
      <c r="B56" s="47" t="n">
        <v>0</v>
      </c>
      <c r="C56" s="47" t="n">
        <v>0.04</v>
      </c>
      <c r="D56" s="47" t="n">
        <v>0.0402046783625731</v>
      </c>
      <c r="E56" s="47" t="n">
        <v>0.0402802101576182</v>
      </c>
      <c r="F56" s="47" t="n">
        <v>0.040084388185654</v>
      </c>
      <c r="G56" s="47" t="n">
        <v>0.0399449035812672</v>
      </c>
      <c r="H56" s="47" t="n">
        <v>0.0399044205495818</v>
      </c>
      <c r="I56" s="47" t="n">
        <v>0.0400619743249225</v>
      </c>
      <c r="J56" s="47" t="n">
        <v>0.0399007649369444</v>
      </c>
      <c r="K56" s="47" t="n">
        <v>0.0400466562986003</v>
      </c>
      <c r="L56" s="47" t="n">
        <v>0.0400882677454947</v>
      </c>
      <c r="M56" s="47" t="n">
        <v>0.040034965034965</v>
      </c>
      <c r="N56" s="48" t="s">
        <v>155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E45"/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3" min="2" style="1" width="10"/>
  </cols>
  <sheetData>
    <row r="1" customFormat="false" ht="27.75" hidden="false" customHeight="true" outlineLevel="0" collapsed="false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20" t="s">
        <v>157</v>
      </c>
      <c r="B2" s="4" t="s">
        <v>6</v>
      </c>
      <c r="C2" s="4" t="s">
        <v>108</v>
      </c>
      <c r="D2" s="4" t="s">
        <v>109</v>
      </c>
      <c r="E2" s="4" t="s">
        <v>9</v>
      </c>
      <c r="F2" s="4" t="s">
        <v>12</v>
      </c>
      <c r="G2" s="4" t="s">
        <v>110</v>
      </c>
      <c r="H2" s="4" t="s">
        <v>111</v>
      </c>
      <c r="I2" s="4" t="s">
        <v>112</v>
      </c>
      <c r="J2" s="4" t="s">
        <v>113</v>
      </c>
      <c r="K2" s="4" t="s">
        <v>114</v>
      </c>
      <c r="L2" s="4" t="s">
        <v>115</v>
      </c>
      <c r="M2" s="4" t="s">
        <v>116</v>
      </c>
    </row>
    <row r="3" customFormat="false" ht="18" hidden="false" customHeight="true" outlineLevel="0" collapsed="false">
      <c r="A3" s="21" t="s">
        <v>158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customFormat="false" ht="16.5" hidden="false" customHeight="true" outlineLevel="0" collapsed="false">
      <c r="A4" s="8" t="s">
        <v>159</v>
      </c>
      <c r="B4" s="49" t="n">
        <v>800</v>
      </c>
      <c r="C4" s="49" t="n">
        <v>600</v>
      </c>
      <c r="D4" s="49" t="n">
        <v>400</v>
      </c>
      <c r="E4" s="49" t="n">
        <v>1200</v>
      </c>
      <c r="F4" s="49" t="n">
        <v>900</v>
      </c>
      <c r="G4" s="49" t="n">
        <v>700</v>
      </c>
      <c r="H4" s="49" t="n">
        <v>500</v>
      </c>
      <c r="I4" s="49" t="n">
        <v>500</v>
      </c>
      <c r="J4" s="49" t="n">
        <v>500</v>
      </c>
      <c r="K4" s="49" t="n">
        <v>500</v>
      </c>
      <c r="L4" s="49" t="n">
        <v>500</v>
      </c>
      <c r="M4" s="49" t="n">
        <v>500</v>
      </c>
    </row>
    <row r="5" customFormat="false" ht="16.5" hidden="false" customHeight="true" outlineLevel="0" collapsed="false">
      <c r="A5" s="11" t="s">
        <v>160</v>
      </c>
      <c r="B5" s="50" t="n">
        <v>0</v>
      </c>
      <c r="C5" s="50" t="n">
        <v>32</v>
      </c>
      <c r="D5" s="50" t="n">
        <v>55</v>
      </c>
      <c r="E5" s="50" t="n">
        <v>69</v>
      </c>
      <c r="F5" s="50" t="n">
        <v>114</v>
      </c>
      <c r="G5" s="50" t="n">
        <v>145</v>
      </c>
      <c r="H5" s="50" t="n">
        <v>167</v>
      </c>
      <c r="I5" s="50" t="n">
        <v>181</v>
      </c>
      <c r="J5" s="50" t="n">
        <v>193</v>
      </c>
      <c r="K5" s="50" t="n">
        <v>206</v>
      </c>
      <c r="L5" s="50" t="n">
        <v>218</v>
      </c>
      <c r="M5" s="50" t="n">
        <v>229</v>
      </c>
    </row>
    <row r="6" customFormat="false" ht="16.5" hidden="false" customHeight="true" outlineLevel="0" collapsed="false">
      <c r="A6" s="51" t="s">
        <v>161</v>
      </c>
      <c r="B6" s="52" t="n">
        <v>800</v>
      </c>
      <c r="C6" s="52" t="n">
        <v>1368</v>
      </c>
      <c r="D6" s="52" t="n">
        <v>1713</v>
      </c>
      <c r="E6" s="52" t="n">
        <v>2844</v>
      </c>
      <c r="F6" s="52" t="n">
        <v>3630</v>
      </c>
      <c r="G6" s="52" t="n">
        <v>4185</v>
      </c>
      <c r="H6" s="52" t="n">
        <v>4518</v>
      </c>
      <c r="I6" s="52" t="n">
        <v>4837</v>
      </c>
      <c r="J6" s="52" t="n">
        <v>5144</v>
      </c>
      <c r="K6" s="52" t="n">
        <v>5438</v>
      </c>
      <c r="L6" s="52" t="n">
        <v>5720</v>
      </c>
      <c r="M6" s="52" t="n">
        <v>5991</v>
      </c>
    </row>
    <row r="7" customFormat="false" ht="18" hidden="false" customHeight="true" outlineLevel="0" collapsed="false">
      <c r="A7" s="21" t="s">
        <v>162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16.5" hidden="false" customHeight="true" outlineLevel="0" collapsed="false">
      <c r="A8" s="8" t="s">
        <v>163</v>
      </c>
      <c r="B8" s="49" t="n">
        <v>1000</v>
      </c>
      <c r="C8" s="49" t="n">
        <v>0</v>
      </c>
      <c r="D8" s="49" t="n">
        <v>0</v>
      </c>
      <c r="E8" s="49" t="n">
        <v>0</v>
      </c>
      <c r="F8" s="49" t="n">
        <v>0</v>
      </c>
      <c r="G8" s="49" t="n">
        <v>0</v>
      </c>
      <c r="H8" s="49" t="n">
        <v>0</v>
      </c>
      <c r="I8" s="49" t="n">
        <v>0</v>
      </c>
      <c r="J8" s="49" t="n">
        <v>0</v>
      </c>
      <c r="K8" s="49" t="n">
        <v>0</v>
      </c>
      <c r="L8" s="49" t="n">
        <v>0</v>
      </c>
      <c r="M8" s="49" t="n">
        <v>0</v>
      </c>
    </row>
    <row r="9" customFormat="false" ht="16.5" hidden="false" customHeight="true" outlineLevel="0" collapsed="false">
      <c r="A9" s="11" t="s">
        <v>164</v>
      </c>
      <c r="B9" s="50" t="n">
        <v>0</v>
      </c>
      <c r="C9" s="50" t="n">
        <v>350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</row>
    <row r="10" customFormat="false" ht="18" hidden="false" customHeight="true" outlineLevel="0" collapsed="false">
      <c r="A10" s="21" t="s">
        <v>165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6.5" hidden="false" customHeight="true" outlineLevel="0" collapsed="false">
      <c r="A11" s="11" t="s">
        <v>166</v>
      </c>
      <c r="B11" s="50" t="n">
        <v>50</v>
      </c>
      <c r="C11" s="50" t="n">
        <v>430</v>
      </c>
      <c r="D11" s="50" t="n">
        <v>60</v>
      </c>
      <c r="E11" s="50" t="n">
        <v>200</v>
      </c>
      <c r="F11" s="50" t="n">
        <v>160</v>
      </c>
      <c r="G11" s="50" t="n">
        <v>130</v>
      </c>
      <c r="H11" s="50" t="n">
        <v>100</v>
      </c>
      <c r="I11" s="50" t="n">
        <v>100</v>
      </c>
      <c r="J11" s="50" t="n">
        <v>100</v>
      </c>
      <c r="K11" s="50" t="n">
        <v>100</v>
      </c>
      <c r="L11" s="50" t="n">
        <v>100</v>
      </c>
      <c r="M11" s="50" t="n">
        <v>100</v>
      </c>
    </row>
    <row r="12" customFormat="false" ht="16.5" hidden="false" customHeight="true" outlineLevel="0" collapsed="false">
      <c r="A12" s="8" t="s">
        <v>167</v>
      </c>
      <c r="B12" s="49" t="n">
        <v>0</v>
      </c>
      <c r="C12" s="49" t="n">
        <v>2</v>
      </c>
      <c r="D12" s="49" t="n">
        <v>23</v>
      </c>
      <c r="E12" s="49" t="n">
        <v>27</v>
      </c>
      <c r="F12" s="49" t="n">
        <v>38</v>
      </c>
      <c r="G12" s="49" t="n">
        <v>49</v>
      </c>
      <c r="H12" s="49" t="n">
        <v>59</v>
      </c>
      <c r="I12" s="49" t="n">
        <v>68</v>
      </c>
      <c r="J12" s="49" t="n">
        <v>78</v>
      </c>
      <c r="K12" s="49" t="n">
        <v>87</v>
      </c>
      <c r="L12" s="49" t="n">
        <v>97</v>
      </c>
      <c r="M12" s="49" t="n">
        <v>107</v>
      </c>
    </row>
    <row r="13" customFormat="false" ht="16.5" hidden="false" customHeight="true" outlineLevel="0" collapsed="false">
      <c r="A13" s="53" t="s">
        <v>151</v>
      </c>
      <c r="B13" s="54" t="n">
        <v>50</v>
      </c>
      <c r="C13" s="54" t="n">
        <v>510</v>
      </c>
      <c r="D13" s="54" t="n">
        <v>602</v>
      </c>
      <c r="E13" s="54" t="n">
        <v>844</v>
      </c>
      <c r="F13" s="54" t="n">
        <v>1080</v>
      </c>
      <c r="G13" s="54" t="n">
        <v>1306</v>
      </c>
      <c r="H13" s="54" t="n">
        <v>1514</v>
      </c>
      <c r="I13" s="54" t="n">
        <v>1727</v>
      </c>
      <c r="J13" s="54" t="n">
        <v>1942</v>
      </c>
      <c r="K13" s="54" t="n">
        <v>2161</v>
      </c>
      <c r="L13" s="54" t="n">
        <v>2382</v>
      </c>
      <c r="M13" s="54" t="n">
        <v>2604</v>
      </c>
    </row>
    <row r="14" customFormat="false" ht="18" hidden="false" customHeight="true" outlineLevel="0" collapsed="false">
      <c r="A14" s="21" t="s">
        <v>168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6.5" hidden="false" customHeight="true" outlineLevel="0" collapsed="false">
      <c r="A15" s="53" t="s">
        <v>153</v>
      </c>
      <c r="B15" s="54" t="n">
        <v>1850</v>
      </c>
      <c r="C15" s="54" t="n">
        <v>1878</v>
      </c>
      <c r="D15" s="54" t="n">
        <v>2315</v>
      </c>
      <c r="E15" s="54" t="n">
        <v>3688</v>
      </c>
      <c r="F15" s="54" t="n">
        <v>4710</v>
      </c>
      <c r="G15" s="54" t="n">
        <v>5491</v>
      </c>
      <c r="H15" s="54" t="n">
        <v>6032</v>
      </c>
      <c r="I15" s="54" t="n">
        <v>6564</v>
      </c>
      <c r="J15" s="54" t="n">
        <v>7086</v>
      </c>
      <c r="K15" s="54" t="n">
        <v>7599</v>
      </c>
      <c r="L15" s="54" t="n">
        <v>8102</v>
      </c>
      <c r="M15" s="54" t="n">
        <v>8595</v>
      </c>
    </row>
    <row r="16" customFormat="false" ht="16.5" hidden="false" customHeight="true" outlineLevel="0" collapsed="false">
      <c r="A16" s="8" t="s">
        <v>169</v>
      </c>
      <c r="B16" s="49" t="n">
        <v>50</v>
      </c>
      <c r="C16" s="49" t="n">
        <v>510</v>
      </c>
      <c r="D16" s="49" t="n">
        <v>602</v>
      </c>
      <c r="E16" s="49" t="n">
        <v>844</v>
      </c>
      <c r="F16" s="49" t="n">
        <v>1080</v>
      </c>
      <c r="G16" s="49" t="n">
        <v>1306</v>
      </c>
      <c r="H16" s="49" t="n">
        <v>1514</v>
      </c>
      <c r="I16" s="49" t="n">
        <v>1727</v>
      </c>
      <c r="J16" s="49" t="n">
        <v>1942</v>
      </c>
      <c r="K16" s="49" t="n">
        <v>2161</v>
      </c>
      <c r="L16" s="49" t="n">
        <v>2382</v>
      </c>
      <c r="M16" s="49" t="n">
        <v>2604</v>
      </c>
    </row>
    <row r="17" customFormat="false" ht="16.5" hidden="false" customHeight="true" outlineLevel="0" collapsed="false">
      <c r="A17" s="11" t="s">
        <v>170</v>
      </c>
      <c r="B17" s="50" t="n">
        <v>1000</v>
      </c>
      <c r="C17" s="50" t="n">
        <v>0</v>
      </c>
      <c r="D17" s="50" t="n">
        <v>0</v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</row>
    <row r="18" customFormat="false" ht="16.5" hidden="false" customHeight="true" outlineLevel="0" collapsed="false">
      <c r="A18" s="8" t="s">
        <v>171</v>
      </c>
      <c r="B18" s="49" t="n">
        <v>800</v>
      </c>
      <c r="C18" s="49" t="n">
        <v>1368</v>
      </c>
      <c r="D18" s="49" t="n">
        <v>1713</v>
      </c>
      <c r="E18" s="49" t="n">
        <v>2844</v>
      </c>
      <c r="F18" s="49" t="n">
        <v>3630</v>
      </c>
      <c r="G18" s="49" t="n">
        <v>4185</v>
      </c>
      <c r="H18" s="49" t="n">
        <v>4518</v>
      </c>
      <c r="I18" s="49" t="n">
        <v>4837</v>
      </c>
      <c r="J18" s="49" t="n">
        <v>5144</v>
      </c>
      <c r="K18" s="49" t="n">
        <v>5438</v>
      </c>
      <c r="L18" s="49" t="n">
        <v>5720</v>
      </c>
      <c r="M18" s="49" t="n">
        <v>5991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8"/>
  </cols>
  <sheetData>
    <row r="1" customFormat="false" ht="21.75" hidden="false" customHeight="true" outlineLevel="0" collapsed="false">
      <c r="A1" s="55" t="s">
        <v>172</v>
      </c>
    </row>
    <row r="2" customFormat="false" ht="13.5" hidden="false" customHeight="true" outlineLevel="0" collapsed="false">
      <c r="A2" s="56" t="s">
        <v>173</v>
      </c>
    </row>
    <row r="3" customFormat="false" ht="13.5" hidden="false" customHeight="true" outlineLevel="0" collapsed="false">
      <c r="A3" s="56" t="s">
        <v>174</v>
      </c>
    </row>
    <row r="5" customFormat="false" ht="18" hidden="false" customHeight="true" outlineLevel="0" collapsed="false">
      <c r="A5" s="57" t="s">
        <v>175</v>
      </c>
      <c r="B5" s="58" t="s">
        <v>176</v>
      </c>
      <c r="C5" s="58" t="s">
        <v>177</v>
      </c>
      <c r="D5" s="58" t="s">
        <v>178</v>
      </c>
      <c r="E5" s="58" t="s">
        <v>179</v>
      </c>
      <c r="F5" s="58" t="s">
        <v>180</v>
      </c>
    </row>
    <row r="6" customFormat="false" ht="15.75" hidden="false" customHeight="true" outlineLevel="0" collapsed="false">
      <c r="A6" s="59" t="s">
        <v>181</v>
      </c>
      <c r="B6" s="60" t="s">
        <v>182</v>
      </c>
      <c r="C6" s="61" t="n">
        <f aca="false">'Income Statement'!N11</f>
        <v>313592</v>
      </c>
      <c r="D6" s="61" t="n">
        <f aca="false">'Income Statement'!N49</f>
        <v>292152</v>
      </c>
      <c r="E6" s="62" t="n">
        <f aca="false">'Subscriber Build'!M13</f>
        <v>2604</v>
      </c>
      <c r="F6" s="61" t="n">
        <f aca="false">'Income Statement'!M54</f>
        <v>49476</v>
      </c>
    </row>
    <row r="8" customFormat="false" ht="18" hidden="false" customHeight="true" outlineLevel="0" collapsed="false">
      <c r="A8" s="63" t="s">
        <v>183</v>
      </c>
      <c r="B8" s="64"/>
      <c r="C8" s="64"/>
      <c r="D8" s="64"/>
      <c r="E8" s="64"/>
      <c r="F8" s="64"/>
    </row>
    <row r="9" customFormat="false" ht="18" hidden="false" customHeight="true" outlineLevel="0" collapsed="false">
      <c r="A9" s="65" t="s">
        <v>184</v>
      </c>
      <c r="B9" s="65" t="s">
        <v>185</v>
      </c>
      <c r="C9" s="65" t="s">
        <v>186</v>
      </c>
      <c r="D9" s="65" t="s">
        <v>187</v>
      </c>
      <c r="E9" s="65" t="s">
        <v>188</v>
      </c>
      <c r="F9" s="65" t="s">
        <v>189</v>
      </c>
    </row>
    <row r="10" customFormat="false" ht="15.75" hidden="false" customHeight="true" outlineLevel="0" collapsed="false">
      <c r="A10" s="63" t="s">
        <v>190</v>
      </c>
      <c r="B10" s="64"/>
      <c r="C10" s="64"/>
      <c r="D10" s="64"/>
      <c r="E10" s="64"/>
      <c r="F10" s="64"/>
    </row>
    <row r="11" customFormat="false" ht="15" hidden="false" customHeight="true" outlineLevel="0" collapsed="false">
      <c r="A11" s="66" t="s">
        <v>191</v>
      </c>
      <c r="B11" s="67" t="s">
        <v>192</v>
      </c>
      <c r="C11" s="68" t="n">
        <v>290767</v>
      </c>
      <c r="D11" s="68" t="n">
        <v>269327</v>
      </c>
      <c r="E11" s="69" t="n">
        <v>2268</v>
      </c>
      <c r="F11" s="70" t="n">
        <v>43092</v>
      </c>
    </row>
    <row r="12" customFormat="false" ht="15" hidden="false" customHeight="true" outlineLevel="0" collapsed="false">
      <c r="A12" s="66" t="s">
        <v>193</v>
      </c>
      <c r="B12" s="67" t="s">
        <v>194</v>
      </c>
      <c r="C12" s="68" t="n">
        <v>304254</v>
      </c>
      <c r="D12" s="68" t="n">
        <v>282814</v>
      </c>
      <c r="E12" s="69" t="n">
        <v>2428</v>
      </c>
      <c r="F12" s="70" t="n">
        <v>46132</v>
      </c>
    </row>
    <row r="13" customFormat="false" ht="15" hidden="false" customHeight="true" outlineLevel="0" collapsed="false">
      <c r="A13" s="59" t="s">
        <v>195</v>
      </c>
      <c r="B13" s="71" t="s">
        <v>196</v>
      </c>
      <c r="C13" s="72" t="n">
        <v>318884</v>
      </c>
      <c r="D13" s="72" t="n">
        <v>297444</v>
      </c>
      <c r="E13" s="73" t="n">
        <v>2604</v>
      </c>
      <c r="F13" s="74" t="n">
        <v>49476</v>
      </c>
    </row>
    <row r="14" customFormat="false" ht="15" hidden="false" customHeight="true" outlineLevel="0" collapsed="false">
      <c r="A14" s="66" t="s">
        <v>197</v>
      </c>
      <c r="B14" s="67" t="s">
        <v>198</v>
      </c>
      <c r="C14" s="68" t="n">
        <v>334381</v>
      </c>
      <c r="D14" s="68" t="n">
        <v>312941</v>
      </c>
      <c r="E14" s="69" t="n">
        <v>2796</v>
      </c>
      <c r="F14" s="70" t="n">
        <v>53124</v>
      </c>
    </row>
    <row r="15" customFormat="false" ht="15" hidden="false" customHeight="true" outlineLevel="0" collapsed="false">
      <c r="A15" s="66" t="s">
        <v>199</v>
      </c>
      <c r="B15" s="67" t="s">
        <v>200</v>
      </c>
      <c r="C15" s="68" t="n">
        <v>351003</v>
      </c>
      <c r="D15" s="68" t="n">
        <v>329563</v>
      </c>
      <c r="E15" s="69" t="n">
        <v>3007</v>
      </c>
      <c r="F15" s="70" t="n">
        <v>57133</v>
      </c>
    </row>
    <row r="16" customFormat="false" ht="15.75" hidden="false" customHeight="true" outlineLevel="0" collapsed="false">
      <c r="A16" s="63" t="s">
        <v>201</v>
      </c>
      <c r="B16" s="64"/>
      <c r="C16" s="64"/>
      <c r="D16" s="64"/>
      <c r="E16" s="64"/>
      <c r="F16" s="64"/>
    </row>
    <row r="17" customFormat="false" ht="15" hidden="false" customHeight="true" outlineLevel="0" collapsed="false">
      <c r="A17" s="66" t="s">
        <v>191</v>
      </c>
      <c r="B17" s="67" t="s">
        <v>202</v>
      </c>
      <c r="C17" s="68" t="n">
        <v>261064</v>
      </c>
      <c r="D17" s="68" t="n">
        <v>239624</v>
      </c>
      <c r="E17" s="69" t="n">
        <v>1967</v>
      </c>
      <c r="F17" s="70" t="n">
        <v>37373</v>
      </c>
    </row>
    <row r="18" customFormat="false" ht="15" hidden="false" customHeight="true" outlineLevel="0" collapsed="false">
      <c r="A18" s="66" t="s">
        <v>193</v>
      </c>
      <c r="B18" s="67" t="s">
        <v>203</v>
      </c>
      <c r="C18" s="68" t="n">
        <v>290712</v>
      </c>
      <c r="D18" s="68" t="n">
        <v>269272</v>
      </c>
      <c r="E18" s="69" t="n">
        <v>2297</v>
      </c>
      <c r="F18" s="70" t="n">
        <v>43643</v>
      </c>
    </row>
    <row r="19" customFormat="false" ht="15" hidden="false" customHeight="true" outlineLevel="0" collapsed="false">
      <c r="A19" s="59" t="s">
        <v>195</v>
      </c>
      <c r="B19" s="71" t="s">
        <v>204</v>
      </c>
      <c r="C19" s="72" t="n">
        <v>318884</v>
      </c>
      <c r="D19" s="72" t="n">
        <v>297444</v>
      </c>
      <c r="E19" s="73" t="n">
        <v>2604</v>
      </c>
      <c r="F19" s="74" t="n">
        <v>49476</v>
      </c>
    </row>
    <row r="20" customFormat="false" ht="15" hidden="false" customHeight="true" outlineLevel="0" collapsed="false">
      <c r="A20" s="66" t="s">
        <v>197</v>
      </c>
      <c r="B20" s="67" t="s">
        <v>205</v>
      </c>
      <c r="C20" s="68" t="n">
        <v>345450</v>
      </c>
      <c r="D20" s="68" t="n">
        <v>324010</v>
      </c>
      <c r="E20" s="69" t="n">
        <v>2886</v>
      </c>
      <c r="F20" s="70" t="n">
        <v>54834</v>
      </c>
    </row>
    <row r="21" customFormat="false" ht="15" hidden="false" customHeight="true" outlineLevel="0" collapsed="false">
      <c r="A21" s="66" t="s">
        <v>199</v>
      </c>
      <c r="B21" s="67" t="s">
        <v>206</v>
      </c>
      <c r="C21" s="68" t="n">
        <v>370818</v>
      </c>
      <c r="D21" s="68" t="n">
        <v>349378</v>
      </c>
      <c r="E21" s="69" t="n">
        <v>3152</v>
      </c>
      <c r="F21" s="70" t="n">
        <v>59888</v>
      </c>
    </row>
    <row r="22" customFormat="false" ht="15.75" hidden="false" customHeight="true" outlineLevel="0" collapsed="false">
      <c r="A22" s="63" t="s">
        <v>207</v>
      </c>
      <c r="B22" s="64"/>
      <c r="C22" s="64"/>
      <c r="D22" s="64"/>
      <c r="E22" s="64"/>
      <c r="F22" s="64"/>
    </row>
    <row r="23" customFormat="false" ht="15" hidden="false" customHeight="true" outlineLevel="0" collapsed="false">
      <c r="A23" s="66" t="s">
        <v>191</v>
      </c>
      <c r="B23" s="67" t="s">
        <v>208</v>
      </c>
      <c r="C23" s="68" t="n">
        <v>294383</v>
      </c>
      <c r="D23" s="68" t="n">
        <v>272943</v>
      </c>
      <c r="E23" s="69" t="n">
        <v>2508</v>
      </c>
      <c r="F23" s="70" t="n">
        <v>47652</v>
      </c>
    </row>
    <row r="24" customFormat="false" ht="15" hidden="false" customHeight="true" outlineLevel="0" collapsed="false">
      <c r="A24" s="66" t="s">
        <v>193</v>
      </c>
      <c r="B24" s="67" t="s">
        <v>209</v>
      </c>
      <c r="C24" s="68" t="n">
        <v>306597</v>
      </c>
      <c r="D24" s="68" t="n">
        <v>285157</v>
      </c>
      <c r="E24" s="69" t="n">
        <v>2556</v>
      </c>
      <c r="F24" s="70" t="n">
        <v>48564</v>
      </c>
    </row>
    <row r="25" customFormat="false" ht="15" hidden="false" customHeight="true" outlineLevel="0" collapsed="false">
      <c r="A25" s="59" t="s">
        <v>195</v>
      </c>
      <c r="B25" s="71" t="s">
        <v>210</v>
      </c>
      <c r="C25" s="72" t="n">
        <v>318884</v>
      </c>
      <c r="D25" s="72" t="n">
        <v>297444</v>
      </c>
      <c r="E25" s="73" t="n">
        <v>2604</v>
      </c>
      <c r="F25" s="74" t="n">
        <v>49476</v>
      </c>
    </row>
    <row r="26" customFormat="false" ht="15" hidden="false" customHeight="true" outlineLevel="0" collapsed="false">
      <c r="A26" s="66" t="s">
        <v>197</v>
      </c>
      <c r="B26" s="67" t="s">
        <v>211</v>
      </c>
      <c r="C26" s="68" t="n">
        <v>331152</v>
      </c>
      <c r="D26" s="68" t="n">
        <v>309712</v>
      </c>
      <c r="E26" s="69" t="n">
        <v>2651</v>
      </c>
      <c r="F26" s="70" t="n">
        <v>50369</v>
      </c>
    </row>
    <row r="27" customFormat="false" ht="15" hidden="false" customHeight="true" outlineLevel="0" collapsed="false">
      <c r="A27" s="66" t="s">
        <v>199</v>
      </c>
      <c r="B27" s="67" t="s">
        <v>212</v>
      </c>
      <c r="C27" s="68" t="n">
        <v>343310</v>
      </c>
      <c r="D27" s="68" t="n">
        <v>321870</v>
      </c>
      <c r="E27" s="69" t="n">
        <v>2698</v>
      </c>
      <c r="F27" s="70" t="n">
        <v>51262</v>
      </c>
    </row>
    <row r="28" customFormat="false" ht="15.75" hidden="false" customHeight="true" outlineLevel="0" collapsed="false">
      <c r="A28" s="63" t="s">
        <v>213</v>
      </c>
      <c r="B28" s="64"/>
      <c r="C28" s="64"/>
      <c r="D28" s="64"/>
      <c r="E28" s="64"/>
      <c r="F28" s="64"/>
    </row>
    <row r="29" customFormat="false" ht="15" hidden="false" customHeight="true" outlineLevel="0" collapsed="false">
      <c r="A29" s="66" t="s">
        <v>191</v>
      </c>
      <c r="B29" s="67" t="s">
        <v>214</v>
      </c>
      <c r="C29" s="68" t="n">
        <v>313884</v>
      </c>
      <c r="D29" s="68" t="n">
        <v>292444</v>
      </c>
      <c r="E29" s="69" t="n">
        <v>2604</v>
      </c>
      <c r="F29" s="70" t="n">
        <v>49476</v>
      </c>
    </row>
    <row r="30" customFormat="false" ht="15" hidden="false" customHeight="true" outlineLevel="0" collapsed="false">
      <c r="A30" s="66" t="s">
        <v>193</v>
      </c>
      <c r="B30" s="67" t="s">
        <v>215</v>
      </c>
      <c r="C30" s="68" t="n">
        <v>316384</v>
      </c>
      <c r="D30" s="68" t="n">
        <v>294944</v>
      </c>
      <c r="E30" s="69" t="n">
        <v>2604</v>
      </c>
      <c r="F30" s="70" t="n">
        <v>49476</v>
      </c>
    </row>
    <row r="31" customFormat="false" ht="15" hidden="false" customHeight="true" outlineLevel="0" collapsed="false">
      <c r="A31" s="59" t="s">
        <v>195</v>
      </c>
      <c r="B31" s="71" t="s">
        <v>216</v>
      </c>
      <c r="C31" s="72" t="n">
        <v>318884</v>
      </c>
      <c r="D31" s="72" t="n">
        <v>297444</v>
      </c>
      <c r="E31" s="73" t="n">
        <v>2604</v>
      </c>
      <c r="F31" s="74" t="n">
        <v>49476</v>
      </c>
    </row>
    <row r="32" customFormat="false" ht="15" hidden="false" customHeight="true" outlineLevel="0" collapsed="false">
      <c r="A32" s="66" t="s">
        <v>197</v>
      </c>
      <c r="B32" s="67" t="s">
        <v>217</v>
      </c>
      <c r="C32" s="68" t="n">
        <v>323884</v>
      </c>
      <c r="D32" s="68" t="n">
        <v>302444</v>
      </c>
      <c r="E32" s="69" t="n">
        <v>2604</v>
      </c>
      <c r="F32" s="70" t="n">
        <v>49476</v>
      </c>
    </row>
    <row r="33" customFormat="false" ht="15" hidden="false" customHeight="true" outlineLevel="0" collapsed="false">
      <c r="A33" s="66" t="s">
        <v>199</v>
      </c>
      <c r="B33" s="67" t="s">
        <v>218</v>
      </c>
      <c r="C33" s="68" t="n">
        <v>331384</v>
      </c>
      <c r="D33" s="68" t="n">
        <v>309944</v>
      </c>
      <c r="E33" s="69" t="n">
        <v>2604</v>
      </c>
      <c r="F33" s="70" t="n">
        <v>49476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2026-03-20T01:07:02Z</dcterms:created>
  <dc:creator>openpyxl</dc:creator>
  <dc:description/>
  <dc:language>en-US</dc:language>
  <cp:lastModifiedBy/>
  <dcterms:modified xsi:type="dcterms:W3CDTF">2026-03-20T03:56:15Z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